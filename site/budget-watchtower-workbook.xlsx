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ctive Projects" sheetId="1" state="visible" r:id="rId1"/>
    <sheet xmlns:r="http://schemas.openxmlformats.org/officeDocument/2006/relationships" name="Projects &gt;70% Exec View" sheetId="2" state="visible" r:id="rId2"/>
    <sheet xmlns:r="http://schemas.openxmlformats.org/officeDocument/2006/relationships" name="Projects &gt;70% " sheetId="3" state="visible" r:id="rId3"/>
    <sheet xmlns:r="http://schemas.openxmlformats.org/officeDocument/2006/relationships" name="Projects 90% &amp; &gt; $50k" sheetId="4" state="visible" r:id="rId4"/>
    <sheet xmlns:r="http://schemas.openxmlformats.org/officeDocument/2006/relationships" name="100% Rev Rec FF" sheetId="5" state="visible" r:id="rId5"/>
    <sheet xmlns:r="http://schemas.openxmlformats.org/officeDocument/2006/relationships" name="Weighted Overrun Calc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7" customWidth="1" min="3" max="3"/>
    <col width="16" customWidth="1" min="4" max="4"/>
    <col width="16" customWidth="1" min="5" max="5"/>
    <col width="22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3" customWidth="1" min="16" max="16"/>
    <col width="12" customWidth="1" min="17" max="17"/>
    <col width="12" customWidth="1" min="18" max="18"/>
  </cols>
  <sheetData>
    <row r="1">
      <c r="A1" s="1" t="inlineStr">
        <is>
          <t>Northstar Heritage, LLC</t>
        </is>
      </c>
    </row>
    <row r="2">
      <c r="A2" s="2" t="inlineStr">
        <is>
          <t>FP&amp;A &amp; QC Project Report</t>
        </is>
      </c>
    </row>
    <row r="3">
      <c r="A3" s="2" t="inlineStr">
        <is>
          <t>As of September 29, 2026</t>
        </is>
      </c>
    </row>
    <row r="4"/>
    <row r="5"/>
    <row r="6"/>
    <row r="7"/>
    <row r="8">
      <c r="G8" s="2" t="inlineStr">
        <is>
          <t>Contract Value</t>
        </is>
      </c>
      <c r="H8" s="2" t="inlineStr">
        <is>
          <t>Revenue</t>
        </is>
      </c>
      <c r="I8" s="2" t="inlineStr">
        <is>
          <t>Invoiced Amount</t>
        </is>
      </c>
      <c r="J8" s="2" t="inlineStr">
        <is>
          <t>Total Revised Budget</t>
        </is>
      </c>
      <c r="K8" s="2" t="inlineStr">
        <is>
          <t>Total Budget</t>
        </is>
      </c>
      <c r="L8" s="2" t="inlineStr">
        <is>
          <t>Total Budget Adjustment</t>
        </is>
      </c>
      <c r="M8" s="2" t="inlineStr">
        <is>
          <t>Total Costs</t>
        </is>
      </c>
      <c r="Q8" s="2" t="inlineStr">
        <is>
          <t>Recognized %</t>
        </is>
      </c>
    </row>
    <row r="9">
      <c r="G9" s="2" t="inlineStr">
        <is>
          <t>Inception To Date</t>
        </is>
      </c>
      <c r="H9" s="2" t="inlineStr">
        <is>
          <t>Inception To Date</t>
        </is>
      </c>
      <c r="I9" s="2" t="inlineStr">
        <is>
          <t>Inception To Date</t>
        </is>
      </c>
      <c r="J9" s="2" t="inlineStr">
        <is>
          <t>Orig Budget + Adjustments</t>
        </is>
      </c>
      <c r="K9" s="2" t="inlineStr">
        <is>
          <t>Original</t>
        </is>
      </c>
      <c r="L9" s="2" t="inlineStr">
        <is>
          <t>ETC</t>
        </is>
      </c>
      <c r="M9" s="2" t="inlineStr">
        <is>
          <t>Inception To Date</t>
        </is>
      </c>
      <c r="N9" s="2" t="inlineStr">
        <is>
          <t>Remaining Budget</t>
        </is>
      </c>
      <c r="O9" s="2" t="inlineStr">
        <is>
          <t>Orig Budget Remaining</t>
        </is>
      </c>
      <c r="Q9" s="2" t="inlineStr">
        <is>
          <t>REV REC %</t>
        </is>
      </c>
      <c r="R9" s="2" t="inlineStr">
        <is>
          <t>Budget Spent %</t>
        </is>
      </c>
    </row>
    <row r="10"/>
    <row r="11">
      <c r="A11" s="3" t="inlineStr">
        <is>
          <t>Project ID</t>
        </is>
      </c>
      <c r="B11" s="3" t="inlineStr">
        <is>
          <t>Dimension name</t>
        </is>
      </c>
      <c r="C11" s="3" t="inlineStr">
        <is>
          <t>Project status</t>
        </is>
      </c>
      <c r="D11" s="3" t="inlineStr">
        <is>
          <t>Project Billing type</t>
        </is>
      </c>
      <c r="E11" s="3" t="inlineStr">
        <is>
          <t>Location Name</t>
        </is>
      </c>
      <c r="F11" s="3" t="inlineStr">
        <is>
          <t>Project Manager Name</t>
        </is>
      </c>
      <c r="G11" s="3" t="inlineStr">
        <is>
          <t>EOP</t>
        </is>
      </c>
      <c r="H11" s="3" t="inlineStr">
        <is>
          <t>Actual</t>
        </is>
      </c>
      <c r="I11" s="3" t="inlineStr">
        <is>
          <t>Actual</t>
        </is>
      </c>
      <c r="J11" s="3" t="inlineStr">
        <is>
          <t>Actual</t>
        </is>
      </c>
      <c r="K11" s="3" t="inlineStr">
        <is>
          <t>Actual</t>
        </is>
      </c>
      <c r="L11" s="3" t="inlineStr">
        <is>
          <t>Actual</t>
        </is>
      </c>
      <c r="M11" s="3" t="inlineStr">
        <is>
          <t>Actual</t>
        </is>
      </c>
      <c r="N11" s="3" t="inlineStr">
        <is>
          <t>Remaining Budget</t>
        </is>
      </c>
      <c r="O11" s="3" t="inlineStr">
        <is>
          <t>Original Budget Remaining</t>
        </is>
      </c>
      <c r="P11" s="3" t="inlineStr">
        <is>
          <t>teamwork Status</t>
        </is>
      </c>
      <c r="Q11" s="3" t="inlineStr">
        <is>
          <t>Actual</t>
        </is>
      </c>
      <c r="R11" s="3" t="inlineStr">
        <is>
          <t>Summary</t>
        </is>
      </c>
    </row>
    <row r="12">
      <c r="A12" s="4" t="inlineStr">
        <is>
          <t>23-PC-30307</t>
        </is>
      </c>
      <c r="B12" s="4" t="inlineStr">
        <is>
          <t>Quail Run Wastewater Plant Cultural Resources Assessment</t>
        </is>
      </c>
      <c r="C12" s="4" t="inlineStr">
        <is>
          <t>Transferred Entity</t>
        </is>
      </c>
      <c r="D12" s="4" t="inlineStr">
        <is>
          <t>Fixed fee</t>
        </is>
      </c>
      <c r="E12" s="4" t="inlineStr">
        <is>
          <t>Big Sky</t>
        </is>
      </c>
      <c r="F12" s="4" t="inlineStr">
        <is>
          <t>Javier Estrada</t>
        </is>
      </c>
      <c r="G12" s="5" t="n">
        <v>240100</v>
      </c>
      <c r="H12" s="5" t="n">
        <v>157553.62</v>
      </c>
      <c r="I12" s="5" t="n">
        <v>157553.62</v>
      </c>
      <c r="J12" s="5" t="n">
        <v>136256.75</v>
      </c>
      <c r="K12" s="5" t="n">
        <v>136256.75</v>
      </c>
      <c r="L12" s="5" t="n">
        <v>0</v>
      </c>
      <c r="M12" s="5" t="n">
        <v>89412.87</v>
      </c>
      <c r="N12" s="5" t="n">
        <v>46843.88</v>
      </c>
      <c r="O12" s="5" t="n">
        <v>46843.88</v>
      </c>
      <c r="P12" s="4" t="n"/>
      <c r="Q12" s="6" t="n">
        <v>0.656</v>
      </c>
      <c r="R12" s="6" t="n">
        <v>0.6562</v>
      </c>
    </row>
    <row r="13">
      <c r="A13" s="4" t="inlineStr">
        <is>
          <t>23-PC-30372</t>
        </is>
      </c>
      <c r="B13" s="4" t="inlineStr">
        <is>
          <t>Phase I: Lone Pine Reservoir Architectural History Survey</t>
        </is>
      </c>
      <c r="C13" s="4" t="inlineStr">
        <is>
          <t>In Progress</t>
        </is>
      </c>
      <c r="D13" s="4" t="inlineStr">
        <is>
          <t>Time and material</t>
        </is>
      </c>
      <c r="E13" s="4" t="inlineStr">
        <is>
          <t>Big Sky</t>
        </is>
      </c>
      <c r="F13" s="4" t="inlineStr">
        <is>
          <t>Bob Frye</t>
        </is>
      </c>
      <c r="G13" s="5" t="n">
        <v>27100</v>
      </c>
      <c r="H13" s="5" t="n">
        <v>18428</v>
      </c>
      <c r="I13" s="5" t="n">
        <v>18428</v>
      </c>
      <c r="J13" s="5" t="n">
        <v>19864.3</v>
      </c>
      <c r="K13" s="5" t="n">
        <v>19864.3</v>
      </c>
      <c r="L13" s="5" t="n">
        <v>0</v>
      </c>
      <c r="M13" s="5" t="n">
        <v>11402.28</v>
      </c>
      <c r="N13" s="5" t="n">
        <v>8462.019999999999</v>
      </c>
      <c r="O13" s="5" t="n">
        <v>8462.019999999999</v>
      </c>
      <c r="P13" s="4" t="n"/>
      <c r="Q13" s="6" t="n">
        <v>0.68</v>
      </c>
      <c r="R13" s="6" t="n">
        <v>0.574</v>
      </c>
    </row>
    <row r="14">
      <c r="A14" s="4" t="inlineStr">
        <is>
          <t>23-PC-30543</t>
        </is>
      </c>
      <c r="B14" s="4" t="inlineStr">
        <is>
          <t>Phase III: Riverbend Rail Siding Maritime Remote Sensing Survey</t>
        </is>
      </c>
      <c r="C14" s="4" t="inlineStr">
        <is>
          <t>In Progress</t>
        </is>
      </c>
      <c r="D14" s="4" t="inlineStr">
        <is>
          <t>Fixed fee</t>
        </is>
      </c>
      <c r="E14" s="4" t="inlineStr">
        <is>
          <t>Big Sky</t>
        </is>
      </c>
      <c r="F14" s="4" t="inlineStr">
        <is>
          <t>Javier Estrada</t>
        </is>
      </c>
      <c r="G14" s="5" t="n">
        <v>320600</v>
      </c>
      <c r="H14" s="5" t="n">
        <v>225766.52</v>
      </c>
      <c r="I14" s="5" t="n">
        <v>225766.52</v>
      </c>
      <c r="J14" s="5" t="n">
        <v>255628.66</v>
      </c>
      <c r="K14" s="5" t="n">
        <v>192683.15</v>
      </c>
      <c r="L14" s="5" t="n">
        <v>62945.51</v>
      </c>
      <c r="M14" s="5" t="n">
        <v>180013.95</v>
      </c>
      <c r="N14" s="5" t="n">
        <v>75614.70999999999</v>
      </c>
      <c r="O14" s="5" t="n">
        <v>12669.19999999998</v>
      </c>
      <c r="P14" s="4" t="n"/>
      <c r="Q14" s="6" t="n">
        <v>0.704</v>
      </c>
      <c r="R14" s="6" t="n">
        <v>0.7042</v>
      </c>
    </row>
    <row r="15">
      <c r="A15" s="4" t="inlineStr">
        <is>
          <t>23-PC-30644</t>
        </is>
      </c>
      <c r="B15" s="4" t="inlineStr">
        <is>
          <t>Phase II: Millbrook Wastewater Plant Data Recovery</t>
        </is>
      </c>
      <c r="C15" s="4" t="inlineStr">
        <is>
          <t>In Progress</t>
        </is>
      </c>
      <c r="D15" s="4" t="inlineStr">
        <is>
          <t>Time and material</t>
        </is>
      </c>
      <c r="E15" s="4" t="inlineStr">
        <is>
          <t>Bluegrass</t>
        </is>
      </c>
      <c r="F15" s="4" t="inlineStr">
        <is>
          <t>Alice Galloway</t>
        </is>
      </c>
      <c r="G15" s="5" t="n">
        <v>108100</v>
      </c>
      <c r="H15" s="5" t="n">
        <v>73508</v>
      </c>
      <c r="I15" s="5" t="n">
        <v>73508</v>
      </c>
      <c r="J15" s="5" t="n">
        <v>72102.7</v>
      </c>
      <c r="K15" s="5" t="n">
        <v>72102.7</v>
      </c>
      <c r="L15" s="5" t="n">
        <v>0</v>
      </c>
      <c r="M15" s="5" t="n">
        <v>46653.03</v>
      </c>
      <c r="N15" s="5" t="n">
        <v>25449.67</v>
      </c>
      <c r="O15" s="5" t="n">
        <v>25449.67</v>
      </c>
      <c r="P15" s="4" t="n"/>
      <c r="Q15" s="6" t="n">
        <v>0.68</v>
      </c>
      <c r="R15" s="6" t="n">
        <v>0.647</v>
      </c>
    </row>
    <row r="16">
      <c r="A16" s="4" t="inlineStr">
        <is>
          <t>23-PC-30869</t>
        </is>
      </c>
      <c r="B16" s="4" t="inlineStr">
        <is>
          <t>Lone Pine Housing Development - Paleontological Monitoring</t>
        </is>
      </c>
      <c r="C16" s="4" t="inlineStr">
        <is>
          <t>In Progress</t>
        </is>
      </c>
      <c r="D16" s="4" t="inlineStr">
        <is>
          <t>Time and material</t>
        </is>
      </c>
      <c r="E16" s="4" t="inlineStr">
        <is>
          <t>Bluegrass</t>
        </is>
      </c>
      <c r="F16" s="4" t="inlineStr">
        <is>
          <t>Kiara Gillespie</t>
        </is>
      </c>
      <c r="G16" s="5" t="n">
        <v>49800</v>
      </c>
      <c r="H16" s="5" t="n">
        <v>33864</v>
      </c>
      <c r="I16" s="5" t="n">
        <v>33864</v>
      </c>
      <c r="J16" s="5" t="n">
        <v>34501.44</v>
      </c>
      <c r="K16" s="5" t="n">
        <v>34501.44</v>
      </c>
      <c r="L16" s="5" t="n">
        <v>0</v>
      </c>
      <c r="M16" s="5" t="n">
        <v>28656.36</v>
      </c>
      <c r="N16" s="5" t="n">
        <v>5845.080000000002</v>
      </c>
      <c r="O16" s="5" t="n">
        <v>5845.080000000002</v>
      </c>
      <c r="P16" s="4" t="n"/>
      <c r="Q16" s="6" t="n">
        <v>0.68</v>
      </c>
      <c r="R16" s="6" t="n">
        <v>0.8306</v>
      </c>
    </row>
    <row r="17">
      <c r="A17" s="4" t="inlineStr">
        <is>
          <t>23-PC-30881</t>
        </is>
      </c>
      <c r="B17" s="4" t="inlineStr">
        <is>
          <t>Dove Canyon Mixed-Use Development Archaeological Testing</t>
        </is>
      </c>
      <c r="C17" s="4" t="inlineStr">
        <is>
          <t>Cost Tracking on Closed Project</t>
        </is>
      </c>
      <c r="D17" s="4" t="inlineStr">
        <is>
          <t>Time and material</t>
        </is>
      </c>
      <c r="E17" s="4" t="inlineStr">
        <is>
          <t>Bluegrass</t>
        </is>
      </c>
      <c r="F17" s="4" t="inlineStr">
        <is>
          <t>Alice Galloway</t>
        </is>
      </c>
      <c r="G17" s="5" t="n">
        <v>86200</v>
      </c>
      <c r="H17" s="5" t="n">
        <v>58616</v>
      </c>
      <c r="I17" s="5" t="n">
        <v>58616</v>
      </c>
      <c r="J17" s="5" t="n">
        <v>58650.48</v>
      </c>
      <c r="K17" s="5" t="n">
        <v>58650.48</v>
      </c>
      <c r="L17" s="5" t="n">
        <v>0</v>
      </c>
      <c r="M17" s="5" t="n">
        <v>61318.15</v>
      </c>
      <c r="N17" s="5" t="n">
        <v>-2667.669999999998</v>
      </c>
      <c r="O17" s="5" t="n">
        <v>-2667.669999999998</v>
      </c>
      <c r="P17" s="4" t="n"/>
      <c r="Q17" s="6" t="n">
        <v>0.68</v>
      </c>
      <c r="R17" s="6" t="n">
        <v>1.0455</v>
      </c>
    </row>
    <row r="18">
      <c r="A18" s="4" t="inlineStr">
        <is>
          <t>23-PC-31003</t>
        </is>
      </c>
      <c r="B18" s="4" t="inlineStr">
        <is>
          <t>Windmill Flat Environmental Review Support</t>
        </is>
      </c>
      <c r="C18" s="4" t="inlineStr">
        <is>
          <t>In Progress</t>
        </is>
      </c>
      <c r="D18" s="4" t="inlineStr">
        <is>
          <t>Fixed fee</t>
        </is>
      </c>
      <c r="E18" s="4" t="inlineStr">
        <is>
          <t>Bluegrass</t>
        </is>
      </c>
      <c r="F18" s="4" t="inlineStr">
        <is>
          <t>Kiara Gillespie</t>
        </is>
      </c>
      <c r="G18" s="5" t="n">
        <v>19300</v>
      </c>
      <c r="H18" s="5" t="n">
        <v>15445.79</v>
      </c>
      <c r="I18" s="5" t="n">
        <v>15445.79</v>
      </c>
      <c r="J18" s="5" t="n">
        <v>10568.68</v>
      </c>
      <c r="K18" s="5" t="n">
        <v>10568.68</v>
      </c>
      <c r="L18" s="5" t="n">
        <v>0</v>
      </c>
      <c r="M18" s="5" t="n">
        <v>8458.51</v>
      </c>
      <c r="N18" s="5" t="n">
        <v>2110.17</v>
      </c>
      <c r="O18" s="5" t="n">
        <v>2110.17</v>
      </c>
      <c r="P18" s="4" t="n"/>
      <c r="Q18" s="6" t="n">
        <v>0.8</v>
      </c>
      <c r="R18" s="6" t="n">
        <v>0.8003</v>
      </c>
    </row>
    <row r="19">
      <c r="A19" s="4" t="inlineStr">
        <is>
          <t>23-PC-31042</t>
        </is>
      </c>
      <c r="B19" s="4" t="inlineStr">
        <is>
          <t>Stone Mill Historic Resources Evaluation</t>
        </is>
      </c>
      <c r="C19" s="4" t="inlineStr">
        <is>
          <t>In Progress</t>
        </is>
      </c>
      <c r="D19" s="4" t="inlineStr">
        <is>
          <t>Time and material</t>
        </is>
      </c>
      <c r="E19" s="4" t="inlineStr">
        <is>
          <t>Cascade</t>
        </is>
      </c>
      <c r="F19" s="4" t="inlineStr">
        <is>
          <t>Donald Lutz</t>
        </is>
      </c>
      <c r="G19" s="5" t="n">
        <v>299700</v>
      </c>
      <c r="H19" s="5" t="n">
        <v>203796</v>
      </c>
      <c r="I19" s="5" t="n">
        <v>203796</v>
      </c>
      <c r="J19" s="5" t="n">
        <v>202896.9</v>
      </c>
      <c r="K19" s="5" t="n">
        <v>202896.9</v>
      </c>
      <c r="L19" s="5" t="n">
        <v>0</v>
      </c>
      <c r="M19" s="5" t="n">
        <v>147919.88</v>
      </c>
      <c r="N19" s="5" t="n">
        <v>54977.01999999999</v>
      </c>
      <c r="O19" s="5" t="n">
        <v>54977.01999999999</v>
      </c>
      <c r="P19" s="4" t="n"/>
      <c r="Q19" s="6" t="n">
        <v>0.68</v>
      </c>
      <c r="R19" s="6" t="n">
        <v>0.729</v>
      </c>
    </row>
    <row r="20">
      <c r="A20" s="4" t="inlineStr">
        <is>
          <t>23-PC-31076</t>
        </is>
      </c>
      <c r="B20" s="4" t="inlineStr">
        <is>
          <t>Wildrye Rail Siding - Archaeological Testing</t>
        </is>
      </c>
      <c r="C20" s="4" t="inlineStr">
        <is>
          <t>Final Reporting/Review</t>
        </is>
      </c>
      <c r="D20" s="4" t="inlineStr">
        <is>
          <t>Time and material</t>
        </is>
      </c>
      <c r="E20" s="4" t="inlineStr">
        <is>
          <t>Cascade</t>
        </is>
      </c>
      <c r="F20" s="4" t="inlineStr">
        <is>
          <t>Cassidy Gay</t>
        </is>
      </c>
      <c r="G20" s="5" t="n">
        <v>95100</v>
      </c>
      <c r="H20" s="5" t="n">
        <v>64668</v>
      </c>
      <c r="I20" s="5" t="n">
        <v>64668</v>
      </c>
      <c r="J20" s="5" t="n">
        <v>65561.94</v>
      </c>
      <c r="K20" s="5" t="n">
        <v>65561.94</v>
      </c>
      <c r="L20" s="5" t="n">
        <v>0</v>
      </c>
      <c r="M20" s="5" t="n">
        <v>41531.43</v>
      </c>
      <c r="N20" s="5" t="n">
        <v>24030.51</v>
      </c>
      <c r="O20" s="5" t="n">
        <v>24030.51</v>
      </c>
      <c r="P20" s="4" t="n"/>
      <c r="Q20" s="6" t="n">
        <v>0.68</v>
      </c>
      <c r="R20" s="6" t="n">
        <v>0.6335</v>
      </c>
    </row>
    <row r="21">
      <c r="A21" s="4" t="inlineStr">
        <is>
          <t>23-PC-31344</t>
        </is>
      </c>
      <c r="B21" s="4" t="inlineStr">
        <is>
          <t>Timber Gap Battery Storage Archaeological Testing</t>
        </is>
      </c>
      <c r="C21" s="4" t="inlineStr">
        <is>
          <t>In Progress</t>
        </is>
      </c>
      <c r="D21" s="4" t="inlineStr">
        <is>
          <t>Fixed fee</t>
        </is>
      </c>
      <c r="E21" s="4" t="inlineStr">
        <is>
          <t>Cascade</t>
        </is>
      </c>
      <c r="F21" s="4" t="inlineStr">
        <is>
          <t>Cassidy Gay</t>
        </is>
      </c>
      <c r="G21" s="5" t="n">
        <v>331600</v>
      </c>
      <c r="H21" s="5" t="n">
        <v>194516.56</v>
      </c>
      <c r="I21" s="5" t="n">
        <v>194516.56</v>
      </c>
      <c r="J21" s="5" t="n">
        <v>264351.52</v>
      </c>
      <c r="K21" s="5" t="n">
        <v>264351.52</v>
      </c>
      <c r="L21" s="5" t="n">
        <v>0</v>
      </c>
      <c r="M21" s="5" t="n">
        <v>155057.32</v>
      </c>
      <c r="N21" s="5" t="n">
        <v>109294.2</v>
      </c>
      <c r="O21" s="5" t="n">
        <v>109294.2</v>
      </c>
      <c r="P21" s="4" t="n"/>
      <c r="Q21" s="6" t="n">
        <v>0.587</v>
      </c>
      <c r="R21" s="6" t="n">
        <v>0.5866</v>
      </c>
    </row>
    <row r="22">
      <c r="A22" s="4" t="inlineStr">
        <is>
          <t>23-PC-31374</t>
        </is>
      </c>
      <c r="B22" s="4" t="inlineStr">
        <is>
          <t>Juniper Wash Canal Lining Environmental Review Support</t>
        </is>
      </c>
      <c r="C22" s="4" t="inlineStr">
        <is>
          <t>In Progress</t>
        </is>
      </c>
      <c r="D22" s="4" t="inlineStr">
        <is>
          <t>Time and material</t>
        </is>
      </c>
      <c r="E22" s="4" t="inlineStr">
        <is>
          <t>Cascade</t>
        </is>
      </c>
      <c r="F22" s="4" t="inlineStr">
        <is>
          <t>Donald Lutz</t>
        </is>
      </c>
      <c r="G22" s="5" t="n">
        <v>255700</v>
      </c>
      <c r="H22" s="5" t="n">
        <v>173876</v>
      </c>
      <c r="I22" s="5" t="n">
        <v>173876</v>
      </c>
      <c r="J22" s="5" t="n">
        <v>168225.03</v>
      </c>
      <c r="K22" s="5" t="n">
        <v>168225.03</v>
      </c>
      <c r="L22" s="5" t="n">
        <v>0</v>
      </c>
      <c r="M22" s="5" t="n">
        <v>202903.45</v>
      </c>
      <c r="N22" s="5" t="n">
        <v>-34678.42000000001</v>
      </c>
      <c r="O22" s="5" t="n">
        <v>-34678.42000000001</v>
      </c>
      <c r="P22" s="4" t="n"/>
      <c r="Q22" s="6" t="n">
        <v>0.68</v>
      </c>
      <c r="R22" s="6" t="n">
        <v>1.2061</v>
      </c>
    </row>
    <row r="23">
      <c r="A23" s="4" t="inlineStr">
        <is>
          <t>23-PC-31405</t>
        </is>
      </c>
      <c r="B23" s="4" t="inlineStr">
        <is>
          <t>Phase II: Maple Fork Mixed-Use Development Built Environment Survey</t>
        </is>
      </c>
      <c r="C23" s="4" t="inlineStr">
        <is>
          <t>In Progress</t>
        </is>
      </c>
      <c r="D23" s="4" t="inlineStr">
        <is>
          <t>Fixed fee</t>
        </is>
      </c>
      <c r="E23" s="4" t="inlineStr">
        <is>
          <t>Cascade</t>
        </is>
      </c>
      <c r="F23" s="4" t="inlineStr">
        <is>
          <t>Jeff Spence</t>
        </is>
      </c>
      <c r="G23" s="5" t="n">
        <v>108000</v>
      </c>
      <c r="H23" s="5" t="n">
        <v>76528.8</v>
      </c>
      <c r="I23" s="5" t="n">
        <v>76528.8</v>
      </c>
      <c r="J23" s="5" t="n">
        <v>82404</v>
      </c>
      <c r="K23" s="5" t="n">
        <v>82404</v>
      </c>
      <c r="L23" s="5" t="n">
        <v>0</v>
      </c>
      <c r="M23" s="5" t="n">
        <v>58391.35</v>
      </c>
      <c r="N23" s="5" t="n">
        <v>24012.65</v>
      </c>
      <c r="O23" s="5" t="n">
        <v>24012.65</v>
      </c>
      <c r="P23" s="4" t="n"/>
      <c r="Q23" s="6" t="n">
        <v>0.709</v>
      </c>
      <c r="R23" s="6" t="n">
        <v>0.7086</v>
      </c>
    </row>
    <row r="24">
      <c r="A24" s="4" t="inlineStr">
        <is>
          <t>23-PC-31765</t>
        </is>
      </c>
      <c r="B24" s="4" t="inlineStr">
        <is>
          <t>Saltgrass Phase I Survey</t>
        </is>
      </c>
      <c r="C24" s="4" t="inlineStr">
        <is>
          <t>Final Reporting/Review</t>
        </is>
      </c>
      <c r="D24" s="4" t="inlineStr">
        <is>
          <t>Fixed fee</t>
        </is>
      </c>
      <c r="E24" s="4" t="inlineStr">
        <is>
          <t>Cascade</t>
        </is>
      </c>
      <c r="F24" s="4" t="inlineStr">
        <is>
          <t>Jean Cooke</t>
        </is>
      </c>
      <c r="G24" s="5" t="n">
        <v>32700</v>
      </c>
      <c r="H24" s="5" t="n">
        <v>18707.67</v>
      </c>
      <c r="I24" s="5" t="n">
        <v>18707.67</v>
      </c>
      <c r="J24" s="5" t="n">
        <v>27114.84</v>
      </c>
      <c r="K24" s="5" t="n">
        <v>27114.84</v>
      </c>
      <c r="L24" s="5" t="n">
        <v>0</v>
      </c>
      <c r="M24" s="5" t="n">
        <v>15513.28</v>
      </c>
      <c r="N24" s="5" t="n">
        <v>11601.56</v>
      </c>
      <c r="O24" s="5" t="n">
        <v>11601.56</v>
      </c>
      <c r="P24" s="4" t="n"/>
      <c r="Q24" s="6" t="n">
        <v>0.572</v>
      </c>
      <c r="R24" s="6" t="n">
        <v>0.5721000000000001</v>
      </c>
    </row>
    <row r="25">
      <c r="A25" s="4" t="inlineStr">
        <is>
          <t>23-PC-31769</t>
        </is>
      </c>
      <c r="B25" s="4" t="inlineStr">
        <is>
          <t>Rushgrass Draw Paleontological Monitoring</t>
        </is>
      </c>
      <c r="C25" s="4" t="inlineStr">
        <is>
          <t>In Progress</t>
        </is>
      </c>
      <c r="D25" s="4" t="inlineStr">
        <is>
          <t>Fixed fee</t>
        </is>
      </c>
      <c r="E25" s="4" t="inlineStr">
        <is>
          <t>Cascade</t>
        </is>
      </c>
      <c r="F25" s="4" t="inlineStr">
        <is>
          <t>Gene Nixon</t>
        </is>
      </c>
      <c r="G25" s="5" t="n">
        <v>34800</v>
      </c>
      <c r="H25" s="5" t="n">
        <v>34800</v>
      </c>
      <c r="I25" s="5" t="n">
        <v>34800</v>
      </c>
      <c r="J25" s="5" t="n">
        <v>28779.6</v>
      </c>
      <c r="K25" s="5" t="n">
        <v>28779.6</v>
      </c>
      <c r="L25" s="5" t="n">
        <v>0</v>
      </c>
      <c r="M25" s="5" t="n">
        <v>31540.76</v>
      </c>
      <c r="N25" s="5" t="n">
        <v>-2761.16</v>
      </c>
      <c r="O25" s="5" t="n">
        <v>-2761.16</v>
      </c>
      <c r="P25" s="4" t="n"/>
      <c r="Q25" s="6" t="n">
        <v>1</v>
      </c>
      <c r="R25" s="6" t="n">
        <v>1.0959</v>
      </c>
    </row>
    <row r="26">
      <c r="A26" s="4" t="inlineStr">
        <is>
          <t>23-PC-31812</t>
        </is>
      </c>
      <c r="B26" s="4" t="inlineStr">
        <is>
          <t>On-Call: Granite Pass Mine Expansion Phase II Testing</t>
        </is>
      </c>
      <c r="C26" s="4" t="inlineStr">
        <is>
          <t>In Progress</t>
        </is>
      </c>
      <c r="D26" s="4" t="inlineStr">
        <is>
          <t>Fixed fee</t>
        </is>
      </c>
      <c r="E26" s="4" t="inlineStr">
        <is>
          <t>Cascade</t>
        </is>
      </c>
      <c r="F26" s="4" t="inlineStr">
        <is>
          <t>Jeff Spence</t>
        </is>
      </c>
      <c r="G26" s="5" t="n">
        <v>460600</v>
      </c>
      <c r="H26" s="5" t="n">
        <v>348674.2</v>
      </c>
      <c r="I26" s="5" t="n">
        <v>348674.2</v>
      </c>
      <c r="J26" s="5" t="n">
        <v>390957.28</v>
      </c>
      <c r="K26" s="5" t="n">
        <v>390957.28</v>
      </c>
      <c r="L26" s="5" t="n">
        <v>0</v>
      </c>
      <c r="M26" s="5" t="n">
        <v>295973.9</v>
      </c>
      <c r="N26" s="5" t="n">
        <v>94983.38</v>
      </c>
      <c r="O26" s="5" t="n">
        <v>94983.38</v>
      </c>
      <c r="P26" s="4" t="n"/>
      <c r="Q26" s="6" t="n">
        <v>0.757</v>
      </c>
      <c r="R26" s="6" t="n">
        <v>0.757</v>
      </c>
    </row>
    <row r="27">
      <c r="A27" s="4" t="inlineStr">
        <is>
          <t>23-PC-31844</t>
        </is>
      </c>
      <c r="B27" s="4" t="inlineStr">
        <is>
          <t>Task Order 37: Sea Oat Water Main Archaeological Testing</t>
        </is>
      </c>
      <c r="C27" s="4" t="inlineStr">
        <is>
          <t>Cost Tracking on Closed Project</t>
        </is>
      </c>
      <c r="D27" s="4" t="inlineStr">
        <is>
          <t>Fixed fee</t>
        </is>
      </c>
      <c r="E27" s="4" t="inlineStr">
        <is>
          <t>Cascade</t>
        </is>
      </c>
      <c r="F27" s="4" t="inlineStr">
        <is>
          <t>Jeff Spence</t>
        </is>
      </c>
      <c r="G27" s="5" t="n">
        <v>175300</v>
      </c>
      <c r="H27" s="5" t="n">
        <v>175300</v>
      </c>
      <c r="I27" s="5" t="n">
        <v>175300</v>
      </c>
      <c r="J27" s="5" t="n">
        <v>93481.00999999999</v>
      </c>
      <c r="K27" s="5" t="n">
        <v>71376.84</v>
      </c>
      <c r="L27" s="5" t="n">
        <v>22104.17</v>
      </c>
      <c r="M27" s="5" t="n">
        <v>112759.17</v>
      </c>
      <c r="N27" s="5" t="n">
        <v>-19278.16</v>
      </c>
      <c r="O27" s="5" t="n">
        <v>-41382.33</v>
      </c>
      <c r="P27" s="4" t="n"/>
      <c r="Q27" s="6" t="n">
        <v>1</v>
      </c>
      <c r="R27" s="6" t="n">
        <v>1.2062</v>
      </c>
    </row>
    <row r="28">
      <c r="A28" s="4" t="inlineStr">
        <is>
          <t>23-PC-32015</t>
        </is>
      </c>
      <c r="B28" s="4" t="inlineStr">
        <is>
          <t>Copper Flats Harbor Dredging - Class III Survey</t>
        </is>
      </c>
      <c r="C28" s="4" t="inlineStr">
        <is>
          <t>In Progress</t>
        </is>
      </c>
      <c r="D28" s="4" t="inlineStr">
        <is>
          <t>Fixed fee</t>
        </is>
      </c>
      <c r="E28" s="4" t="inlineStr">
        <is>
          <t>Chesapeake</t>
        </is>
      </c>
      <c r="F28" s="4" t="inlineStr">
        <is>
          <t>Jason Oconnor</t>
        </is>
      </c>
      <c r="G28" s="5" t="n">
        <v>89300</v>
      </c>
      <c r="H28" s="5" t="n">
        <v>40524.34</v>
      </c>
      <c r="I28" s="5" t="n">
        <v>40524.34</v>
      </c>
      <c r="J28" s="5" t="n">
        <v>65024.25</v>
      </c>
      <c r="K28" s="5" t="n">
        <v>59234.48</v>
      </c>
      <c r="L28" s="5" t="n">
        <v>5789.77</v>
      </c>
      <c r="M28" s="5" t="n">
        <v>29508.22</v>
      </c>
      <c r="N28" s="5" t="n">
        <v>35516.03</v>
      </c>
      <c r="O28" s="5" t="n">
        <v>29726.26</v>
      </c>
      <c r="P28" s="4" t="n"/>
      <c r="Q28" s="6" t="n">
        <v>0.454</v>
      </c>
      <c r="R28" s="6" t="n">
        <v>0.4538</v>
      </c>
    </row>
    <row r="29">
      <c r="A29" s="4" t="inlineStr">
        <is>
          <t>23-PC-32278</t>
        </is>
      </c>
      <c r="B29" s="4" t="inlineStr">
        <is>
          <t>Coyote Springs Highway Widening Paleontological Monitoring</t>
        </is>
      </c>
      <c r="C29" s="4" t="inlineStr">
        <is>
          <t>Lab/Curation</t>
        </is>
      </c>
      <c r="D29" s="4" t="inlineStr">
        <is>
          <t>Time and material</t>
        </is>
      </c>
      <c r="E29" s="4" t="inlineStr">
        <is>
          <t>Chesapeake</t>
        </is>
      </c>
      <c r="F29" s="4" t="inlineStr">
        <is>
          <t>Ian Maddox</t>
        </is>
      </c>
      <c r="G29" s="5" t="n">
        <v>3500</v>
      </c>
      <c r="H29" s="5" t="n">
        <v>2380</v>
      </c>
      <c r="I29" s="5" t="n">
        <v>2380</v>
      </c>
      <c r="J29" s="5" t="n">
        <v>2281.3</v>
      </c>
      <c r="K29" s="5" t="n">
        <v>2281.3</v>
      </c>
      <c r="L29" s="5" t="n">
        <v>0</v>
      </c>
      <c r="M29" s="5" t="n">
        <v>1738.97</v>
      </c>
      <c r="N29" s="5" t="n">
        <v>542.3300000000002</v>
      </c>
      <c r="O29" s="5" t="n">
        <v>542.3300000000002</v>
      </c>
      <c r="P29" s="4" t="n"/>
      <c r="Q29" s="6" t="n">
        <v>0.68</v>
      </c>
      <c r="R29" s="6" t="n">
        <v>0.7623</v>
      </c>
    </row>
    <row r="30">
      <c r="A30" s="4" t="inlineStr">
        <is>
          <t>23-PC-32329</t>
        </is>
      </c>
      <c r="B30" s="4" t="inlineStr">
        <is>
          <t>Rushgrass Draw Historic Resources Evaluation</t>
        </is>
      </c>
      <c r="C30" s="4" t="inlineStr">
        <is>
          <t>In Progress</t>
        </is>
      </c>
      <c r="D30" s="4" t="inlineStr">
        <is>
          <t>Fixed fee</t>
        </is>
      </c>
      <c r="E30" s="4" t="inlineStr">
        <is>
          <t>Chesapeake</t>
        </is>
      </c>
      <c r="F30" s="4" t="inlineStr">
        <is>
          <t>Sandy Kerr</t>
        </is>
      </c>
      <c r="G30" s="5" t="n">
        <v>149100</v>
      </c>
      <c r="H30" s="5" t="n">
        <v>132892.83</v>
      </c>
      <c r="I30" s="5" t="n">
        <v>132892.83</v>
      </c>
      <c r="J30" s="5" t="n">
        <v>111109.32</v>
      </c>
      <c r="K30" s="5" t="n">
        <v>111109.32</v>
      </c>
      <c r="L30" s="5" t="n">
        <v>0</v>
      </c>
      <c r="M30" s="5" t="n">
        <v>99032.78</v>
      </c>
      <c r="N30" s="5" t="n">
        <v>12076.54000000001</v>
      </c>
      <c r="O30" s="5" t="n">
        <v>12076.54000000001</v>
      </c>
      <c r="P30" s="4" t="n"/>
      <c r="Q30" s="6" t="n">
        <v>0.891</v>
      </c>
      <c r="R30" s="6" t="n">
        <v>0.8913</v>
      </c>
    </row>
    <row r="31">
      <c r="A31" s="4" t="inlineStr">
        <is>
          <t>23-PC-32443</t>
        </is>
      </c>
      <c r="B31" s="4" t="inlineStr">
        <is>
          <t>Tamarack Battery Storage - Cultural Resources Monitoring</t>
        </is>
      </c>
      <c r="C31" s="4" t="inlineStr">
        <is>
          <t>In Progress</t>
        </is>
      </c>
      <c r="D31" s="4" t="inlineStr">
        <is>
          <t>Time and material</t>
        </is>
      </c>
      <c r="E31" s="4" t="inlineStr">
        <is>
          <t>Chesapeake</t>
        </is>
      </c>
      <c r="F31" s="4" t="inlineStr">
        <is>
          <t>Bryan Mann</t>
        </is>
      </c>
      <c r="G31" s="5" t="n">
        <v>152600</v>
      </c>
      <c r="H31" s="5" t="n">
        <v>117078.5</v>
      </c>
      <c r="I31" s="5" t="n">
        <v>117078.5</v>
      </c>
      <c r="J31" s="5" t="n">
        <v>107415.14</v>
      </c>
      <c r="K31" s="5" t="n">
        <v>107415.14</v>
      </c>
      <c r="L31" s="5" t="n">
        <v>0</v>
      </c>
      <c r="M31" s="5" t="n">
        <v>63511.77</v>
      </c>
      <c r="N31" s="5" t="n">
        <v>43903.37</v>
      </c>
      <c r="O31" s="5" t="n">
        <v>43903.37</v>
      </c>
      <c r="P31" s="4" t="n"/>
      <c r="Q31" s="6" t="n">
        <v>0.767</v>
      </c>
      <c r="R31" s="6" t="n">
        <v>0.5913</v>
      </c>
    </row>
    <row r="32">
      <c r="A32" s="4" t="inlineStr">
        <is>
          <t>23-PC-32520</t>
        </is>
      </c>
      <c r="B32" s="4" t="inlineStr">
        <is>
          <t>Tamarack Battery Storage GIS Mapping</t>
        </is>
      </c>
      <c r="C32" s="4" t="inlineStr">
        <is>
          <t>Lab/Curation</t>
        </is>
      </c>
      <c r="D32" s="4" t="inlineStr">
        <is>
          <t>Time and material</t>
        </is>
      </c>
      <c r="E32" s="4" t="inlineStr">
        <is>
          <t>Chesapeake</t>
        </is>
      </c>
      <c r="F32" s="4" t="inlineStr">
        <is>
          <t>Ian Maddox</t>
        </is>
      </c>
      <c r="G32" s="5" t="n">
        <v>1116300</v>
      </c>
      <c r="H32" s="5" t="n">
        <v>759084</v>
      </c>
      <c r="I32" s="5" t="n">
        <v>759084</v>
      </c>
      <c r="J32" s="5" t="n">
        <v>767567.88</v>
      </c>
      <c r="K32" s="5" t="n">
        <v>767567.88</v>
      </c>
      <c r="L32" s="5" t="n">
        <v>0</v>
      </c>
      <c r="M32" s="5" t="n">
        <v>601405.25</v>
      </c>
      <c r="N32" s="5" t="n">
        <v>166162.63</v>
      </c>
      <c r="O32" s="5" t="n">
        <v>166162.63</v>
      </c>
      <c r="P32" s="4" t="n"/>
      <c r="Q32" s="6" t="n">
        <v>0.68</v>
      </c>
      <c r="R32" s="6" t="n">
        <v>0.7835</v>
      </c>
    </row>
    <row r="33">
      <c r="A33" s="4" t="inlineStr">
        <is>
          <t>23-PC-32635</t>
        </is>
      </c>
      <c r="B33" s="4" t="inlineStr">
        <is>
          <t>Rushgrass Draw Curation</t>
        </is>
      </c>
      <c r="C33" s="4" t="inlineStr">
        <is>
          <t>Cost Tracking on Closed Project</t>
        </is>
      </c>
      <c r="D33" s="4" t="inlineStr">
        <is>
          <t>Time and material</t>
        </is>
      </c>
      <c r="E33" s="4" t="inlineStr">
        <is>
          <t>Chesapeake</t>
        </is>
      </c>
      <c r="F33" s="4" t="inlineStr">
        <is>
          <t>Jason Oconnor</t>
        </is>
      </c>
      <c r="G33" s="5" t="n">
        <v>36800</v>
      </c>
      <c r="H33" s="5" t="n">
        <v>25024</v>
      </c>
      <c r="I33" s="5" t="n">
        <v>25024</v>
      </c>
      <c r="J33" s="5" t="n">
        <v>24644.96</v>
      </c>
      <c r="K33" s="5" t="n">
        <v>24644.96</v>
      </c>
      <c r="L33" s="5" t="n">
        <v>0</v>
      </c>
      <c r="M33" s="5" t="n">
        <v>27323.95</v>
      </c>
      <c r="N33" s="5" t="n">
        <v>-2678.990000000002</v>
      </c>
      <c r="O33" s="5" t="n">
        <v>-2678.990000000002</v>
      </c>
      <c r="P33" s="4" t="n"/>
      <c r="Q33" s="6" t="n">
        <v>0.68</v>
      </c>
      <c r="R33" s="6" t="n">
        <v>1.1087</v>
      </c>
    </row>
    <row r="34">
      <c r="A34" s="4" t="inlineStr">
        <is>
          <t>23-PC-33001</t>
        </is>
      </c>
      <c r="B34" s="4" t="inlineStr">
        <is>
          <t>Heron Marsh Environmental Review Support</t>
        </is>
      </c>
      <c r="C34" s="4" t="inlineStr">
        <is>
          <t>In Progress</t>
        </is>
      </c>
      <c r="D34" s="4" t="inlineStr">
        <is>
          <t>Time and material</t>
        </is>
      </c>
      <c r="E34" s="4" t="inlineStr">
        <is>
          <t>Front Range</t>
        </is>
      </c>
      <c r="F34" s="4" t="inlineStr">
        <is>
          <t>Dean Velazquez</t>
        </is>
      </c>
      <c r="G34" s="5" t="n">
        <v>356400</v>
      </c>
      <c r="H34" s="5" t="n">
        <v>242352</v>
      </c>
      <c r="I34" s="5" t="n">
        <v>242352</v>
      </c>
      <c r="J34" s="5" t="n">
        <v>221573.88</v>
      </c>
      <c r="K34" s="5" t="n">
        <v>221573.88</v>
      </c>
      <c r="L34" s="5" t="n">
        <v>0</v>
      </c>
      <c r="M34" s="5" t="n">
        <v>127558.9</v>
      </c>
      <c r="N34" s="5" t="n">
        <v>94014.98000000001</v>
      </c>
      <c r="O34" s="5" t="n">
        <v>94014.98000000001</v>
      </c>
      <c r="P34" s="4" t="n"/>
      <c r="Q34" s="6" t="n">
        <v>0.68</v>
      </c>
      <c r="R34" s="6" t="n">
        <v>0.5757</v>
      </c>
    </row>
    <row r="35">
      <c r="A35" s="4" t="inlineStr">
        <is>
          <t>23-PC-33070</t>
        </is>
      </c>
      <c r="B35" s="4" t="inlineStr">
        <is>
          <t>Meadowlark Curation</t>
        </is>
      </c>
      <c r="C35" s="4" t="inlineStr">
        <is>
          <t>In Progress</t>
        </is>
      </c>
      <c r="D35" s="4" t="inlineStr">
        <is>
          <t>Fixed fee</t>
        </is>
      </c>
      <c r="E35" s="4" t="inlineStr">
        <is>
          <t>Front Range</t>
        </is>
      </c>
      <c r="F35" s="4" t="inlineStr">
        <is>
          <t>Reginald Vargas</t>
        </is>
      </c>
      <c r="G35" s="5" t="n">
        <v>55100</v>
      </c>
      <c r="H35" s="5" t="n">
        <v>46377.67</v>
      </c>
      <c r="I35" s="5" t="n">
        <v>46377.67</v>
      </c>
      <c r="J35" s="5" t="n">
        <v>34299.75</v>
      </c>
      <c r="K35" s="5" t="n">
        <v>34299.75</v>
      </c>
      <c r="L35" s="5" t="n">
        <v>0</v>
      </c>
      <c r="M35" s="5" t="n">
        <v>28871.53</v>
      </c>
      <c r="N35" s="5" t="n">
        <v>5428.220000000001</v>
      </c>
      <c r="O35" s="5" t="n">
        <v>5428.220000000001</v>
      </c>
      <c r="P35" s="4" t="n"/>
      <c r="Q35" s="6" t="n">
        <v>0.842</v>
      </c>
      <c r="R35" s="6" t="n">
        <v>0.8417</v>
      </c>
    </row>
    <row r="36">
      <c r="A36" s="4" t="inlineStr">
        <is>
          <t>23-PC-33151</t>
        </is>
      </c>
      <c r="B36" s="4" t="inlineStr">
        <is>
          <t>Sandpiper Class III Survey</t>
        </is>
      </c>
      <c r="C36" s="4" t="inlineStr">
        <is>
          <t>In Progress</t>
        </is>
      </c>
      <c r="D36" s="4" t="inlineStr">
        <is>
          <t>Fixed fee</t>
        </is>
      </c>
      <c r="E36" s="4" t="inlineStr">
        <is>
          <t>Front Range</t>
        </is>
      </c>
      <c r="F36" s="4" t="inlineStr">
        <is>
          <t>Kimberly Daugherty</t>
        </is>
      </c>
      <c r="G36" s="5" t="n">
        <v>637100</v>
      </c>
      <c r="H36" s="5" t="n">
        <v>540961.61</v>
      </c>
      <c r="I36" s="5" t="n">
        <v>540961.61</v>
      </c>
      <c r="J36" s="5" t="n">
        <v>497638.81</v>
      </c>
      <c r="K36" s="5" t="n">
        <v>497638.81</v>
      </c>
      <c r="L36" s="5" t="n">
        <v>0</v>
      </c>
      <c r="M36" s="5" t="n">
        <v>422546.87</v>
      </c>
      <c r="N36" s="5" t="n">
        <v>75091.94</v>
      </c>
      <c r="O36" s="5" t="n">
        <v>75091.94</v>
      </c>
      <c r="P36" s="4" t="n"/>
      <c r="Q36" s="6" t="n">
        <v>0.849</v>
      </c>
      <c r="R36" s="6" t="n">
        <v>0.8491</v>
      </c>
    </row>
    <row r="37">
      <c r="A37" s="4" t="inlineStr">
        <is>
          <t>23-PC-33471</t>
        </is>
      </c>
      <c r="B37" s="4" t="inlineStr">
        <is>
          <t>Sandpiper Park Improvements - Environmental Review Support</t>
        </is>
      </c>
      <c r="C37" s="4" t="inlineStr">
        <is>
          <t>Lab/Curation</t>
        </is>
      </c>
      <c r="D37" s="4" t="inlineStr">
        <is>
          <t>Time and material</t>
        </is>
      </c>
      <c r="E37" s="4" t="inlineStr">
        <is>
          <t>Front Range</t>
        </is>
      </c>
      <c r="F37" s="4" t="inlineStr">
        <is>
          <t>Devon Pitts</t>
        </is>
      </c>
      <c r="G37" s="5" t="n">
        <v>113200</v>
      </c>
      <c r="H37" s="5" t="n">
        <v>76976</v>
      </c>
      <c r="I37" s="5" t="n">
        <v>76976</v>
      </c>
      <c r="J37" s="5" t="n">
        <v>80813.48</v>
      </c>
      <c r="K37" s="5" t="n">
        <v>80813.48</v>
      </c>
      <c r="L37" s="5" t="n">
        <v>0</v>
      </c>
      <c r="M37" s="5" t="n">
        <v>61581.06</v>
      </c>
      <c r="N37" s="5" t="n">
        <v>19232.42</v>
      </c>
      <c r="O37" s="5" t="n">
        <v>19232.42</v>
      </c>
      <c r="P37" s="4" t="n"/>
      <c r="Q37" s="6" t="n">
        <v>0.68</v>
      </c>
      <c r="R37" s="6" t="n">
        <v>0.762</v>
      </c>
    </row>
    <row r="38">
      <c r="A38" s="4" t="inlineStr">
        <is>
          <t>23-PC-33551</t>
        </is>
      </c>
      <c r="B38" s="4" t="inlineStr">
        <is>
          <t>Heron Marsh Airport Apron GIS Mapping</t>
        </is>
      </c>
      <c r="C38" s="4" t="inlineStr">
        <is>
          <t>Final Reporting/Review</t>
        </is>
      </c>
      <c r="D38" s="4" t="inlineStr">
        <is>
          <t>Time and material</t>
        </is>
      </c>
      <c r="E38" s="4" t="inlineStr">
        <is>
          <t>Front Range</t>
        </is>
      </c>
      <c r="F38" s="4" t="inlineStr">
        <is>
          <t>Reginald Vargas</t>
        </is>
      </c>
      <c r="G38" s="5" t="n">
        <v>95400</v>
      </c>
      <c r="H38" s="5" t="n">
        <v>64872</v>
      </c>
      <c r="I38" s="5" t="n">
        <v>64872</v>
      </c>
      <c r="J38" s="5" t="n">
        <v>62019.54</v>
      </c>
      <c r="K38" s="5" t="n">
        <v>62019.54</v>
      </c>
      <c r="L38" s="5" t="n">
        <v>0</v>
      </c>
      <c r="M38" s="5" t="n">
        <v>47726</v>
      </c>
      <c r="N38" s="5" t="n">
        <v>14293.54</v>
      </c>
      <c r="O38" s="5" t="n">
        <v>14293.54</v>
      </c>
      <c r="P38" s="4" t="n"/>
      <c r="Q38" s="6" t="n">
        <v>0.68</v>
      </c>
      <c r="R38" s="6" t="n">
        <v>0.7695</v>
      </c>
    </row>
    <row r="39">
      <c r="A39" s="4" t="inlineStr">
        <is>
          <t>23-PC-33553</t>
        </is>
      </c>
      <c r="B39" s="4" t="inlineStr">
        <is>
          <t>Phase III: Yarrow Point Reservoir Archaeological Testing</t>
        </is>
      </c>
      <c r="C39" s="4" t="inlineStr">
        <is>
          <t>In Progress</t>
        </is>
      </c>
      <c r="D39" s="4" t="inlineStr">
        <is>
          <t>Fixed fee</t>
        </is>
      </c>
      <c r="E39" s="4" t="inlineStr">
        <is>
          <t>Front Range</t>
        </is>
      </c>
      <c r="F39" s="4" t="inlineStr">
        <is>
          <t>Kimberly Daugherty</t>
        </is>
      </c>
      <c r="G39" s="5" t="n">
        <v>21600</v>
      </c>
      <c r="H39" s="5" t="n">
        <v>21600</v>
      </c>
      <c r="I39" s="5" t="n">
        <v>21600</v>
      </c>
      <c r="J39" s="5" t="n">
        <v>15245.28</v>
      </c>
      <c r="K39" s="5" t="n">
        <v>15245.28</v>
      </c>
      <c r="L39" s="5" t="n">
        <v>0</v>
      </c>
      <c r="M39" s="5" t="n">
        <v>16551.79</v>
      </c>
      <c r="N39" s="5" t="n">
        <v>-1306.51</v>
      </c>
      <c r="O39" s="5" t="n">
        <v>-1306.51</v>
      </c>
      <c r="P39" s="4" t="n"/>
      <c r="Q39" s="6" t="n">
        <v>1</v>
      </c>
      <c r="R39" s="6" t="n">
        <v>1.0857</v>
      </c>
    </row>
    <row r="40">
      <c r="A40" s="4" t="inlineStr">
        <is>
          <t>23-PC-33879</t>
        </is>
      </c>
      <c r="B40" s="4" t="inlineStr">
        <is>
          <t>Phase III: Twin Buttes Canal Lining GIS Mapping</t>
        </is>
      </c>
      <c r="C40" s="4" t="inlineStr">
        <is>
          <t>In Progress</t>
        </is>
      </c>
      <c r="D40" s="4" t="inlineStr">
        <is>
          <t>Time and material</t>
        </is>
      </c>
      <c r="E40" s="4" t="inlineStr">
        <is>
          <t>Great Lakes</t>
        </is>
      </c>
      <c r="F40" s="4" t="inlineStr">
        <is>
          <t>Jeff Pugh</t>
        </is>
      </c>
      <c r="G40" s="5" t="n">
        <v>300600</v>
      </c>
      <c r="H40" s="5" t="n">
        <v>204408</v>
      </c>
      <c r="I40" s="5" t="n">
        <v>204408</v>
      </c>
      <c r="J40" s="5" t="n">
        <v>219257.64</v>
      </c>
      <c r="K40" s="5" t="n">
        <v>219257.64</v>
      </c>
      <c r="L40" s="5" t="n">
        <v>0</v>
      </c>
      <c r="M40" s="5" t="n">
        <v>176674.59</v>
      </c>
      <c r="N40" s="5" t="n">
        <v>42583.05000000002</v>
      </c>
      <c r="O40" s="5" t="n">
        <v>42583.05000000002</v>
      </c>
      <c r="P40" s="4" t="n"/>
      <c r="Q40" s="6" t="n">
        <v>0.68</v>
      </c>
      <c r="R40" s="6" t="n">
        <v>0.8058</v>
      </c>
    </row>
    <row r="41">
      <c r="A41" s="4" t="inlineStr">
        <is>
          <t>23-PC-33998</t>
        </is>
      </c>
      <c r="B41" s="4" t="inlineStr">
        <is>
          <t>Phase II: Granite Pass Reservoir Class III Survey</t>
        </is>
      </c>
      <c r="C41" s="4" t="inlineStr">
        <is>
          <t>In Progress</t>
        </is>
      </c>
      <c r="D41" s="4" t="inlineStr">
        <is>
          <t>Time and material</t>
        </is>
      </c>
      <c r="E41" s="4" t="inlineStr">
        <is>
          <t>Great Lakes</t>
        </is>
      </c>
      <c r="F41" s="4" t="inlineStr">
        <is>
          <t>Nathan Lambert</t>
        </is>
      </c>
      <c r="G41" s="5" t="n">
        <v>238800</v>
      </c>
      <c r="H41" s="5" t="n">
        <v>162384</v>
      </c>
      <c r="I41" s="5" t="n">
        <v>162384</v>
      </c>
      <c r="J41" s="5" t="n">
        <v>156891.6</v>
      </c>
      <c r="K41" s="5" t="n">
        <v>156891.6</v>
      </c>
      <c r="L41" s="5" t="n">
        <v>0</v>
      </c>
      <c r="M41" s="5" t="n">
        <v>95556.7</v>
      </c>
      <c r="N41" s="5" t="n">
        <v>61334.90000000001</v>
      </c>
      <c r="O41" s="5" t="n">
        <v>61334.90000000001</v>
      </c>
      <c r="P41" s="4" t="n"/>
      <c r="Q41" s="6" t="n">
        <v>0.68</v>
      </c>
      <c r="R41" s="6" t="n">
        <v>0.6091</v>
      </c>
    </row>
    <row r="42">
      <c r="A42" s="4" t="inlineStr">
        <is>
          <t>23-PC-34171</t>
        </is>
      </c>
      <c r="B42" s="4" t="inlineStr">
        <is>
          <t>Timber Gap Rail Siding - Built Environment Survey</t>
        </is>
      </c>
      <c r="C42" s="4" t="inlineStr">
        <is>
          <t>In Progress</t>
        </is>
      </c>
      <c r="D42" s="4" t="inlineStr">
        <is>
          <t>Time and material</t>
        </is>
      </c>
      <c r="E42" s="4" t="inlineStr">
        <is>
          <t>Great Lakes</t>
        </is>
      </c>
      <c r="F42" s="4" t="inlineStr">
        <is>
          <t>Jeff Pugh</t>
        </is>
      </c>
      <c r="G42" s="5" t="n">
        <v>221100</v>
      </c>
      <c r="H42" s="5" t="n">
        <v>150348</v>
      </c>
      <c r="I42" s="5" t="n">
        <v>150348</v>
      </c>
      <c r="J42" s="5" t="n">
        <v>154858.44</v>
      </c>
      <c r="K42" s="5" t="n">
        <v>154858.44</v>
      </c>
      <c r="L42" s="5" t="n">
        <v>0</v>
      </c>
      <c r="M42" s="5" t="n">
        <v>75735.59</v>
      </c>
      <c r="N42" s="5" t="n">
        <v>79122.85000000001</v>
      </c>
      <c r="O42" s="5" t="n">
        <v>79122.85000000001</v>
      </c>
      <c r="P42" s="4" t="n"/>
      <c r="Q42" s="6" t="n">
        <v>0.68</v>
      </c>
      <c r="R42" s="6" t="n">
        <v>0.4891</v>
      </c>
    </row>
    <row r="43">
      <c r="A43" s="4" t="inlineStr">
        <is>
          <t>23-PC-34229</t>
        </is>
      </c>
      <c r="B43" s="4" t="inlineStr">
        <is>
          <t>Creosote Draw Mixed-Use Development Paleontological Monitoring</t>
        </is>
      </c>
      <c r="C43" s="4" t="inlineStr">
        <is>
          <t>In Progress</t>
        </is>
      </c>
      <c r="D43" s="4" t="inlineStr">
        <is>
          <t>Time and material</t>
        </is>
      </c>
      <c r="E43" s="4" t="inlineStr">
        <is>
          <t>Great Lakes</t>
        </is>
      </c>
      <c r="F43" s="4" t="inlineStr">
        <is>
          <t>Jeff Pugh</t>
        </is>
      </c>
      <c r="G43" s="5" t="n">
        <v>48800</v>
      </c>
      <c r="H43" s="5" t="n">
        <v>33184</v>
      </c>
      <c r="I43" s="5" t="n">
        <v>33184</v>
      </c>
      <c r="J43" s="5" t="n">
        <v>34427.85</v>
      </c>
      <c r="K43" s="5" t="n">
        <v>31880.18</v>
      </c>
      <c r="L43" s="5" t="n">
        <v>2547.67</v>
      </c>
      <c r="M43" s="5" t="n">
        <v>25157.23</v>
      </c>
      <c r="N43" s="5" t="n">
        <v>9270.619999999999</v>
      </c>
      <c r="O43" s="5" t="n">
        <v>6722.950000000001</v>
      </c>
      <c r="P43" s="4" t="n"/>
      <c r="Q43" s="6" t="n">
        <v>0.68</v>
      </c>
      <c r="R43" s="6" t="n">
        <v>0.7307</v>
      </c>
    </row>
    <row r="44">
      <c r="A44" s="4" t="inlineStr">
        <is>
          <t>23-PC-34353</t>
        </is>
      </c>
      <c r="B44" s="4" t="inlineStr">
        <is>
          <t>Cedar Hollow Levee Repair Phase II Testing</t>
        </is>
      </c>
      <c r="C44" s="4" t="inlineStr">
        <is>
          <t>In Progress</t>
        </is>
      </c>
      <c r="D44" s="4" t="inlineStr">
        <is>
          <t>Time and material</t>
        </is>
      </c>
      <c r="E44" s="4" t="inlineStr">
        <is>
          <t>Great Lakes</t>
        </is>
      </c>
      <c r="F44" s="4" t="inlineStr">
        <is>
          <t>Kathleen Galvan</t>
        </is>
      </c>
      <c r="G44" s="5" t="n">
        <v>373100</v>
      </c>
      <c r="H44" s="5" t="n">
        <v>253708</v>
      </c>
      <c r="I44" s="5" t="n">
        <v>253708</v>
      </c>
      <c r="J44" s="5" t="n">
        <v>247626.47</v>
      </c>
      <c r="K44" s="5" t="n">
        <v>247626.47</v>
      </c>
      <c r="L44" s="5" t="n">
        <v>0</v>
      </c>
      <c r="M44" s="5" t="n">
        <v>184659.6</v>
      </c>
      <c r="N44" s="5" t="n">
        <v>62966.87</v>
      </c>
      <c r="O44" s="5" t="n">
        <v>62966.87</v>
      </c>
      <c r="P44" s="4" t="n"/>
      <c r="Q44" s="6" t="n">
        <v>0.68</v>
      </c>
      <c r="R44" s="6" t="n">
        <v>0.7457</v>
      </c>
    </row>
    <row r="45">
      <c r="A45" s="4" t="inlineStr">
        <is>
          <t>23-PC-34403</t>
        </is>
      </c>
      <c r="B45" s="4" t="inlineStr">
        <is>
          <t>Plover Cove Built Environment Survey</t>
        </is>
      </c>
      <c r="C45" s="4" t="inlineStr">
        <is>
          <t>In Progress</t>
        </is>
      </c>
      <c r="D45" s="4" t="inlineStr">
        <is>
          <t>Time and material</t>
        </is>
      </c>
      <c r="E45" s="4" t="inlineStr">
        <is>
          <t>Great Lakes</t>
        </is>
      </c>
      <c r="F45" s="4" t="inlineStr">
        <is>
          <t>Kathleen Galvan</t>
        </is>
      </c>
      <c r="G45" s="5" t="n">
        <v>46200</v>
      </c>
      <c r="H45" s="5" t="n">
        <v>31416</v>
      </c>
      <c r="I45" s="5" t="n">
        <v>31416</v>
      </c>
      <c r="J45" s="5" t="n">
        <v>30187.08</v>
      </c>
      <c r="K45" s="5" t="n">
        <v>30187.08</v>
      </c>
      <c r="L45" s="5" t="n">
        <v>0</v>
      </c>
      <c r="M45" s="5" t="n">
        <v>23628.2</v>
      </c>
      <c r="N45" s="5" t="n">
        <v>6558.880000000001</v>
      </c>
      <c r="O45" s="5" t="n">
        <v>6558.880000000001</v>
      </c>
      <c r="P45" s="4" t="n"/>
      <c r="Q45" s="6" t="n">
        <v>0.68</v>
      </c>
      <c r="R45" s="6" t="n">
        <v>0.7827</v>
      </c>
    </row>
    <row r="46">
      <c r="A46" s="4" t="inlineStr">
        <is>
          <t>23-PC-34440</t>
        </is>
      </c>
      <c r="B46" s="4" t="inlineStr">
        <is>
          <t>Dove Canyon Bridge Replacement - Phase II Testing</t>
        </is>
      </c>
      <c r="C46" s="4" t="inlineStr">
        <is>
          <t>In Progress</t>
        </is>
      </c>
      <c r="D46" s="4" t="inlineStr">
        <is>
          <t>Fixed fee</t>
        </is>
      </c>
      <c r="E46" s="4" t="inlineStr">
        <is>
          <t>Great Lakes</t>
        </is>
      </c>
      <c r="F46" s="4" t="inlineStr">
        <is>
          <t>Angelica Cervantes</t>
        </is>
      </c>
      <c r="G46" s="5" t="n">
        <v>477000</v>
      </c>
      <c r="H46" s="5" t="n">
        <v>347303.7</v>
      </c>
      <c r="I46" s="5" t="n">
        <v>347303.7</v>
      </c>
      <c r="J46" s="5" t="n">
        <v>333756.9</v>
      </c>
      <c r="K46" s="5" t="n">
        <v>333756.9</v>
      </c>
      <c r="L46" s="5" t="n">
        <v>0</v>
      </c>
      <c r="M46" s="5" t="n">
        <v>243019.93</v>
      </c>
      <c r="N46" s="5" t="n">
        <v>90736.97000000003</v>
      </c>
      <c r="O46" s="5" t="n">
        <v>90736.97000000003</v>
      </c>
      <c r="P46" s="4" t="n"/>
      <c r="Q46" s="6" t="n">
        <v>0.728</v>
      </c>
      <c r="R46" s="6" t="n">
        <v>0.7281</v>
      </c>
    </row>
    <row r="47">
      <c r="A47" s="4" t="inlineStr">
        <is>
          <t>23-PC-34473</t>
        </is>
      </c>
      <c r="B47" s="4" t="inlineStr">
        <is>
          <t>Aspen Ridge Cell Tower Phase I Survey</t>
        </is>
      </c>
      <c r="C47" s="4" t="inlineStr">
        <is>
          <t>In Progress</t>
        </is>
      </c>
      <c r="D47" s="4" t="inlineStr">
        <is>
          <t>Time and material</t>
        </is>
      </c>
      <c r="E47" s="4" t="inlineStr">
        <is>
          <t>Great Lakes</t>
        </is>
      </c>
      <c r="F47" s="4" t="inlineStr">
        <is>
          <t>Leonard Mejia</t>
        </is>
      </c>
      <c r="G47" s="5" t="n">
        <v>52300</v>
      </c>
      <c r="H47" s="5" t="n">
        <v>35564</v>
      </c>
      <c r="I47" s="5" t="n">
        <v>35564</v>
      </c>
      <c r="J47" s="5" t="n">
        <v>36353.73</v>
      </c>
      <c r="K47" s="5" t="n">
        <v>36353.73</v>
      </c>
      <c r="L47" s="5" t="n">
        <v>0</v>
      </c>
      <c r="M47" s="5" t="n">
        <v>23508.92</v>
      </c>
      <c r="N47" s="5" t="n">
        <v>12844.81</v>
      </c>
      <c r="O47" s="5" t="n">
        <v>12844.81</v>
      </c>
      <c r="P47" s="4" t="n"/>
      <c r="Q47" s="6" t="n">
        <v>0.68</v>
      </c>
      <c r="R47" s="6" t="n">
        <v>0.6467000000000001</v>
      </c>
    </row>
    <row r="48">
      <c r="A48" s="4" t="inlineStr">
        <is>
          <t>23-PC-34510</t>
        </is>
      </c>
      <c r="B48" s="4" t="inlineStr">
        <is>
          <t>Millbrook Mixed-Use Development Class III Survey</t>
        </is>
      </c>
      <c r="C48" s="4" t="inlineStr">
        <is>
          <t>Final Reporting/Review</t>
        </is>
      </c>
      <c r="D48" s="4" t="inlineStr">
        <is>
          <t>Time and material</t>
        </is>
      </c>
      <c r="E48" s="4" t="inlineStr">
        <is>
          <t>Great Lakes</t>
        </is>
      </c>
      <c r="F48" s="4" t="inlineStr">
        <is>
          <t>Geoffrey Fernandez</t>
        </is>
      </c>
      <c r="G48" s="5" t="n">
        <v>70000</v>
      </c>
      <c r="H48" s="5" t="n">
        <v>47600</v>
      </c>
      <c r="I48" s="5" t="n">
        <v>47600</v>
      </c>
      <c r="J48" s="5" t="n">
        <v>50246</v>
      </c>
      <c r="K48" s="5" t="n">
        <v>50246</v>
      </c>
      <c r="L48" s="5" t="n">
        <v>0</v>
      </c>
      <c r="M48" s="5" t="n">
        <v>45814.41</v>
      </c>
      <c r="N48" s="5" t="n">
        <v>4431.589999999997</v>
      </c>
      <c r="O48" s="5" t="n">
        <v>4431.589999999997</v>
      </c>
      <c r="P48" s="4" t="n"/>
      <c r="Q48" s="6" t="n">
        <v>0.68</v>
      </c>
      <c r="R48" s="6" t="n">
        <v>0.9118000000000001</v>
      </c>
    </row>
    <row r="49">
      <c r="A49" s="4" t="inlineStr">
        <is>
          <t>23-PC-34522</t>
        </is>
      </c>
      <c r="B49" s="4" t="inlineStr">
        <is>
          <t>Foxglove GIS Mapping</t>
        </is>
      </c>
      <c r="C49" s="4" t="inlineStr">
        <is>
          <t>In Progress</t>
        </is>
      </c>
      <c r="D49" s="4" t="inlineStr">
        <is>
          <t>Time and material</t>
        </is>
      </c>
      <c r="E49" s="4" t="inlineStr">
        <is>
          <t>Great Lakes</t>
        </is>
      </c>
      <c r="F49" s="4" t="inlineStr">
        <is>
          <t>Brendan Padilla</t>
        </is>
      </c>
      <c r="G49" s="5" t="n">
        <v>192200</v>
      </c>
      <c r="H49" s="5" t="n">
        <v>130696</v>
      </c>
      <c r="I49" s="5" t="n">
        <v>130696</v>
      </c>
      <c r="J49" s="5" t="n">
        <v>131503.24</v>
      </c>
      <c r="K49" s="5" t="n">
        <v>131503.24</v>
      </c>
      <c r="L49" s="5" t="n">
        <v>0</v>
      </c>
      <c r="M49" s="5" t="n">
        <v>75113.75</v>
      </c>
      <c r="N49" s="5" t="n">
        <v>56389.48999999999</v>
      </c>
      <c r="O49" s="5" t="n">
        <v>56389.48999999999</v>
      </c>
      <c r="P49" s="4" t="n"/>
      <c r="Q49" s="6" t="n">
        <v>0.68</v>
      </c>
      <c r="R49" s="6" t="n">
        <v>0.5712</v>
      </c>
    </row>
    <row r="50">
      <c r="A50" s="4" t="inlineStr">
        <is>
          <t>23-PC-34745</t>
        </is>
      </c>
      <c r="B50" s="4" t="inlineStr">
        <is>
          <t>Slate Ridge Battery Storage Environmental Review Support</t>
        </is>
      </c>
      <c r="C50" s="4" t="inlineStr">
        <is>
          <t>In Progress</t>
        </is>
      </c>
      <c r="D50" s="4" t="inlineStr">
        <is>
          <t>Fixed fee</t>
        </is>
      </c>
      <c r="E50" s="4" t="inlineStr">
        <is>
          <t>Great Lakes</t>
        </is>
      </c>
      <c r="F50" s="4" t="inlineStr">
        <is>
          <t>Robin Mercado</t>
        </is>
      </c>
      <c r="G50" s="5" t="n">
        <v>614200</v>
      </c>
      <c r="H50" s="5" t="n">
        <v>408504.42</v>
      </c>
      <c r="I50" s="5" t="n">
        <v>408504.42</v>
      </c>
      <c r="J50" s="5" t="n">
        <v>440258.56</v>
      </c>
      <c r="K50" s="5" t="n">
        <v>440258.56</v>
      </c>
      <c r="L50" s="5" t="n">
        <v>0</v>
      </c>
      <c r="M50" s="5" t="n">
        <v>292800.8</v>
      </c>
      <c r="N50" s="5" t="n">
        <v>147457.76</v>
      </c>
      <c r="O50" s="5" t="n">
        <v>147457.76</v>
      </c>
      <c r="P50" s="4" t="n"/>
      <c r="Q50" s="6" t="n">
        <v>0.665</v>
      </c>
      <c r="R50" s="6" t="n">
        <v>0.6651</v>
      </c>
    </row>
    <row r="51">
      <c r="A51" s="4" t="inlineStr">
        <is>
          <t>23-PC-34789</t>
        </is>
      </c>
      <c r="B51" s="4" t="inlineStr">
        <is>
          <t>On-Call: Sea Oat Cell Tower Historic Resources Evaluation</t>
        </is>
      </c>
      <c r="C51" s="4" t="inlineStr">
        <is>
          <t>In Progress</t>
        </is>
      </c>
      <c r="D51" s="4" t="inlineStr">
        <is>
          <t>Fixed fee</t>
        </is>
      </c>
      <c r="E51" s="4" t="inlineStr">
        <is>
          <t>Gulf Coast</t>
        </is>
      </c>
      <c r="F51" s="4" t="inlineStr">
        <is>
          <t>Sean Jennings</t>
        </is>
      </c>
      <c r="G51" s="5" t="n">
        <v>46100</v>
      </c>
      <c r="H51" s="5" t="n">
        <v>32472.84</v>
      </c>
      <c r="I51" s="5" t="n">
        <v>32472.84</v>
      </c>
      <c r="J51" s="5" t="n">
        <v>31721.41</v>
      </c>
      <c r="K51" s="5" t="n">
        <v>31721.41</v>
      </c>
      <c r="L51" s="5" t="n">
        <v>0</v>
      </c>
      <c r="M51" s="5" t="n">
        <v>22343.25</v>
      </c>
      <c r="N51" s="5" t="n">
        <v>9378.16</v>
      </c>
      <c r="O51" s="5" t="n">
        <v>9378.16</v>
      </c>
      <c r="P51" s="4" t="n"/>
      <c r="Q51" s="6" t="n">
        <v>0.704</v>
      </c>
      <c r="R51" s="6" t="n">
        <v>0.7044</v>
      </c>
    </row>
    <row r="52">
      <c r="A52" s="4" t="inlineStr">
        <is>
          <t>23-PC-34811</t>
        </is>
      </c>
      <c r="B52" s="4" t="inlineStr">
        <is>
          <t>Task Order 2: Saltgrass Airport Apron Maritime Remote Sensing Survey</t>
        </is>
      </c>
      <c r="C52" s="4" t="inlineStr">
        <is>
          <t>Transferred Entity</t>
        </is>
      </c>
      <c r="D52" s="4" t="inlineStr">
        <is>
          <t>Fixed fee</t>
        </is>
      </c>
      <c r="E52" s="4" t="inlineStr">
        <is>
          <t>Gulf Coast West</t>
        </is>
      </c>
      <c r="F52" s="4" t="inlineStr">
        <is>
          <t>Courtney Daugherty</t>
        </is>
      </c>
      <c r="G52" s="5" t="n">
        <v>112600</v>
      </c>
      <c r="H52" s="5" t="n">
        <v>92917.52</v>
      </c>
      <c r="I52" s="5" t="n">
        <v>92917.52</v>
      </c>
      <c r="J52" s="5" t="n">
        <v>80883.67999999999</v>
      </c>
      <c r="K52" s="5" t="n">
        <v>67188.42</v>
      </c>
      <c r="L52" s="5" t="n">
        <v>13695.26</v>
      </c>
      <c r="M52" s="5" t="n">
        <v>66744.53999999999</v>
      </c>
      <c r="N52" s="5" t="n">
        <v>14139.14</v>
      </c>
      <c r="O52" s="5" t="n">
        <v>443.8800000000047</v>
      </c>
      <c r="P52" s="4" t="n"/>
      <c r="Q52" s="6" t="n">
        <v>0.825</v>
      </c>
      <c r="R52" s="6" t="n">
        <v>0.8252</v>
      </c>
    </row>
    <row r="53">
      <c r="A53" s="4" t="inlineStr">
        <is>
          <t>23-PC-34826</t>
        </is>
      </c>
      <c r="B53" s="4" t="inlineStr">
        <is>
          <t>Task Order 13: Foxglove Canal Lining Cultural Resources Monitoring</t>
        </is>
      </c>
      <c r="C53" s="4" t="inlineStr">
        <is>
          <t>In Progress</t>
        </is>
      </c>
      <c r="D53" s="4" t="inlineStr">
        <is>
          <t>Time and material</t>
        </is>
      </c>
      <c r="E53" s="4" t="inlineStr">
        <is>
          <t>Gulf Coast East</t>
        </is>
      </c>
      <c r="F53" s="4" t="inlineStr">
        <is>
          <t>Bernard Erickson</t>
        </is>
      </c>
      <c r="G53" s="5" t="n">
        <v>168500</v>
      </c>
      <c r="H53" s="5" t="n">
        <v>114580</v>
      </c>
      <c r="I53" s="5" t="n">
        <v>114580</v>
      </c>
      <c r="J53" s="5" t="n">
        <v>109642.95</v>
      </c>
      <c r="K53" s="5" t="n">
        <v>109642.95</v>
      </c>
      <c r="L53" s="5" t="n">
        <v>0</v>
      </c>
      <c r="M53" s="5" t="n">
        <v>61763.3</v>
      </c>
      <c r="N53" s="5" t="n">
        <v>47879.64999999999</v>
      </c>
      <c r="O53" s="5" t="n">
        <v>47879.64999999999</v>
      </c>
      <c r="P53" s="4" t="n"/>
      <c r="Q53" s="6" t="n">
        <v>0.68</v>
      </c>
      <c r="R53" s="6" t="n">
        <v>0.5633</v>
      </c>
    </row>
    <row r="54">
      <c r="A54" s="4" t="inlineStr">
        <is>
          <t>23-PC-34902</t>
        </is>
      </c>
      <c r="B54" s="4" t="inlineStr">
        <is>
          <t>Sumac Ridge Built Environment Survey</t>
        </is>
      </c>
      <c r="C54" s="4" t="inlineStr">
        <is>
          <t>Final Reporting/Review</t>
        </is>
      </c>
      <c r="D54" s="4" t="inlineStr">
        <is>
          <t>Time and material</t>
        </is>
      </c>
      <c r="E54" s="4" t="inlineStr">
        <is>
          <t>Gulf Coast</t>
        </is>
      </c>
      <c r="F54" s="4" t="inlineStr">
        <is>
          <t>Sean Jennings</t>
        </is>
      </c>
      <c r="G54" s="5" t="n">
        <v>37000</v>
      </c>
      <c r="H54" s="5" t="n">
        <v>25160</v>
      </c>
      <c r="I54" s="5" t="n">
        <v>25160</v>
      </c>
      <c r="J54" s="5" t="n">
        <v>26270</v>
      </c>
      <c r="K54" s="5" t="n">
        <v>26270</v>
      </c>
      <c r="L54" s="5" t="n">
        <v>0</v>
      </c>
      <c r="M54" s="5" t="n">
        <v>17779.33</v>
      </c>
      <c r="N54" s="5" t="n">
        <v>8490.669999999998</v>
      </c>
      <c r="O54" s="5" t="n">
        <v>8490.669999999998</v>
      </c>
      <c r="P54" s="4" t="n"/>
      <c r="Q54" s="6" t="n">
        <v>0.68</v>
      </c>
      <c r="R54" s="6" t="n">
        <v>0.6768</v>
      </c>
    </row>
    <row r="55">
      <c r="A55" s="4" t="inlineStr">
        <is>
          <t>23-PC-34939</t>
        </is>
      </c>
      <c r="B55" s="4" t="inlineStr">
        <is>
          <t>Maple Fork Maritime Remote Sensing Survey</t>
        </is>
      </c>
      <c r="C55" s="4" t="inlineStr">
        <is>
          <t>In Progress</t>
        </is>
      </c>
      <c r="D55" s="4" t="inlineStr">
        <is>
          <t>Time and material</t>
        </is>
      </c>
      <c r="E55" s="4" t="inlineStr">
        <is>
          <t>Gulf Coast West</t>
        </is>
      </c>
      <c r="F55" s="4" t="inlineStr">
        <is>
          <t>Bernard Erickson</t>
        </is>
      </c>
      <c r="G55" s="5" t="n">
        <v>145800</v>
      </c>
      <c r="H55" s="5" t="n">
        <v>99144</v>
      </c>
      <c r="I55" s="5" t="n">
        <v>99144</v>
      </c>
      <c r="J55" s="5" t="n">
        <v>104172.04</v>
      </c>
      <c r="K55" s="5" t="n">
        <v>89950</v>
      </c>
      <c r="L55" s="5" t="n">
        <v>14222.04</v>
      </c>
      <c r="M55" s="5" t="n">
        <v>74711.94</v>
      </c>
      <c r="N55" s="5" t="n">
        <v>29460.09999999999</v>
      </c>
      <c r="O55" s="5" t="n">
        <v>15238.06</v>
      </c>
      <c r="P55" s="4" t="n"/>
      <c r="Q55" s="6" t="n">
        <v>0.68</v>
      </c>
      <c r="R55" s="6" t="n">
        <v>0.7171999999999999</v>
      </c>
    </row>
    <row r="56">
      <c r="A56" s="4" t="inlineStr">
        <is>
          <t>23-PC-34947</t>
        </is>
      </c>
      <c r="B56" s="4" t="inlineStr">
        <is>
          <t>Aspen Ridge Cell Tower Architectural History Survey</t>
        </is>
      </c>
      <c r="C56" s="4" t="inlineStr">
        <is>
          <t>In Progress</t>
        </is>
      </c>
      <c r="D56" s="4" t="inlineStr">
        <is>
          <t>Fixed fee</t>
        </is>
      </c>
      <c r="E56" s="4" t="inlineStr">
        <is>
          <t>Gulf Coast West</t>
        </is>
      </c>
      <c r="F56" s="4" t="inlineStr">
        <is>
          <t>Wyatt Erickson</t>
        </is>
      </c>
      <c r="G56" s="5" t="n">
        <v>285900</v>
      </c>
      <c r="H56" s="5" t="n">
        <v>192753.78</v>
      </c>
      <c r="I56" s="5" t="n">
        <v>192753.78</v>
      </c>
      <c r="J56" s="5" t="n">
        <v>199615.38</v>
      </c>
      <c r="K56" s="5" t="n">
        <v>199615.38</v>
      </c>
      <c r="L56" s="5" t="n">
        <v>0</v>
      </c>
      <c r="M56" s="5" t="n">
        <v>134588.76</v>
      </c>
      <c r="N56" s="5" t="n">
        <v>65026.62</v>
      </c>
      <c r="O56" s="5" t="n">
        <v>65026.62</v>
      </c>
      <c r="P56" s="4" t="n"/>
      <c r="Q56" s="6" t="n">
        <v>0.674</v>
      </c>
      <c r="R56" s="6" t="n">
        <v>0.6742</v>
      </c>
    </row>
    <row r="57">
      <c r="A57" s="4" t="inlineStr">
        <is>
          <t>23-PC-35003</t>
        </is>
      </c>
      <c r="B57" s="4" t="inlineStr">
        <is>
          <t>Creosote Draw Archaeological Testing</t>
        </is>
      </c>
      <c r="C57" s="4" t="inlineStr">
        <is>
          <t>In Progress</t>
        </is>
      </c>
      <c r="D57" s="4" t="inlineStr">
        <is>
          <t>Time and material</t>
        </is>
      </c>
      <c r="E57" s="4" t="inlineStr">
        <is>
          <t>Gulf Coast West</t>
        </is>
      </c>
      <c r="F57" s="4" t="inlineStr">
        <is>
          <t>Bernard Erickson</t>
        </is>
      </c>
      <c r="G57" s="5" t="n">
        <v>187900</v>
      </c>
      <c r="H57" s="5" t="n">
        <v>127772</v>
      </c>
      <c r="I57" s="5" t="n">
        <v>127772</v>
      </c>
      <c r="J57" s="5" t="n">
        <v>127170.72</v>
      </c>
      <c r="K57" s="5" t="n">
        <v>127170.72</v>
      </c>
      <c r="L57" s="5" t="n">
        <v>0</v>
      </c>
      <c r="M57" s="5" t="n">
        <v>85671.58</v>
      </c>
      <c r="N57" s="5" t="n">
        <v>41499.14</v>
      </c>
      <c r="O57" s="5" t="n">
        <v>41499.14</v>
      </c>
      <c r="P57" s="4" t="n"/>
      <c r="Q57" s="6" t="n">
        <v>0.68</v>
      </c>
      <c r="R57" s="6" t="n">
        <v>0.6737</v>
      </c>
    </row>
    <row r="58">
      <c r="A58" s="4" t="inlineStr">
        <is>
          <t>23-PC-35126</t>
        </is>
      </c>
      <c r="B58" s="4" t="inlineStr">
        <is>
          <t>Falcon Mesa Rail Siding Built Environment Survey</t>
        </is>
      </c>
      <c r="C58" s="4" t="inlineStr">
        <is>
          <t>In Progress</t>
        </is>
      </c>
      <c r="D58" s="4" t="inlineStr">
        <is>
          <t>Time and material</t>
        </is>
      </c>
      <c r="E58" s="4" t="inlineStr">
        <is>
          <t>Gulf Coast West</t>
        </is>
      </c>
      <c r="F58" s="4" t="inlineStr">
        <is>
          <t>Wyatt Erickson</t>
        </is>
      </c>
      <c r="G58" s="5" t="n">
        <v>273100</v>
      </c>
      <c r="H58" s="5" t="n">
        <v>185708</v>
      </c>
      <c r="I58" s="5" t="n">
        <v>185708</v>
      </c>
      <c r="J58" s="5" t="n">
        <v>197014.34</v>
      </c>
      <c r="K58" s="5" t="n">
        <v>197014.34</v>
      </c>
      <c r="L58" s="5" t="n">
        <v>0</v>
      </c>
      <c r="M58" s="5" t="n">
        <v>105573.3</v>
      </c>
      <c r="N58" s="5" t="n">
        <v>91441.03999999999</v>
      </c>
      <c r="O58" s="5" t="n">
        <v>91441.03999999999</v>
      </c>
      <c r="P58" s="4" t="n"/>
      <c r="Q58" s="6" t="n">
        <v>0.68</v>
      </c>
      <c r="R58" s="6" t="n">
        <v>0.5359</v>
      </c>
    </row>
    <row r="59">
      <c r="A59" s="4" t="inlineStr">
        <is>
          <t>23-PC-35176</t>
        </is>
      </c>
      <c r="B59" s="4" t="inlineStr">
        <is>
          <t>Plover Cove Mine Expansion Section 106 Consultation</t>
        </is>
      </c>
      <c r="C59" s="4" t="inlineStr">
        <is>
          <t>In Progress</t>
        </is>
      </c>
      <c r="D59" s="4" t="inlineStr">
        <is>
          <t>Fixed fee</t>
        </is>
      </c>
      <c r="E59" s="4" t="inlineStr">
        <is>
          <t>Gulf Coast</t>
        </is>
      </c>
      <c r="F59" s="4" t="inlineStr">
        <is>
          <t>Bernard Erickson</t>
        </is>
      </c>
      <c r="G59" s="5" t="n">
        <v>74700</v>
      </c>
      <c r="H59" s="5" t="n">
        <v>49496.22</v>
      </c>
      <c r="I59" s="5" t="n">
        <v>49496.22</v>
      </c>
      <c r="J59" s="5" t="n">
        <v>53388.09</v>
      </c>
      <c r="K59" s="5" t="n">
        <v>53388.09</v>
      </c>
      <c r="L59" s="5" t="n">
        <v>0</v>
      </c>
      <c r="M59" s="5" t="n">
        <v>35373.34</v>
      </c>
      <c r="N59" s="5" t="n">
        <v>18014.75</v>
      </c>
      <c r="O59" s="5" t="n">
        <v>18014.75</v>
      </c>
      <c r="P59" s="4" t="n"/>
      <c r="Q59" s="6" t="n">
        <v>0.663</v>
      </c>
      <c r="R59" s="6" t="n">
        <v>0.6626</v>
      </c>
    </row>
    <row r="60">
      <c r="A60" s="4" t="inlineStr">
        <is>
          <t>23-PC-35225</t>
        </is>
      </c>
      <c r="B60" s="4" t="inlineStr">
        <is>
          <t>Tansy Flat Rail Siding - Archaeological Testing</t>
        </is>
      </c>
      <c r="C60" s="4" t="inlineStr">
        <is>
          <t>In Progress</t>
        </is>
      </c>
      <c r="D60" s="4" t="inlineStr">
        <is>
          <t>Fixed fee</t>
        </is>
      </c>
      <c r="E60" s="4" t="inlineStr">
        <is>
          <t>Gulf Coast East</t>
        </is>
      </c>
      <c r="F60" s="4" t="inlineStr">
        <is>
          <t>Wyatt Erickson</t>
        </is>
      </c>
      <c r="G60" s="5" t="n">
        <v>407900</v>
      </c>
      <c r="H60" s="5" t="n">
        <v>303355.23</v>
      </c>
      <c r="I60" s="5" t="n">
        <v>303355.23</v>
      </c>
      <c r="J60" s="5" t="n">
        <v>321139.67</v>
      </c>
      <c r="K60" s="5" t="n">
        <v>321139.67</v>
      </c>
      <c r="L60" s="5" t="n">
        <v>0</v>
      </c>
      <c r="M60" s="5" t="n">
        <v>238828.33</v>
      </c>
      <c r="N60" s="5" t="n">
        <v>82311.34</v>
      </c>
      <c r="O60" s="5" t="n">
        <v>82311.34</v>
      </c>
      <c r="P60" s="4" t="n"/>
      <c r="Q60" s="6" t="n">
        <v>0.744</v>
      </c>
      <c r="R60" s="6" t="n">
        <v>0.7437</v>
      </c>
    </row>
    <row r="61">
      <c r="A61" s="4" t="inlineStr">
        <is>
          <t>23-PC-35425</t>
        </is>
      </c>
      <c r="B61" s="4" t="inlineStr">
        <is>
          <t>Yarrow Point Trail - GIS Mapping</t>
        </is>
      </c>
      <c r="C61" s="4" t="inlineStr">
        <is>
          <t>Lab/Curation</t>
        </is>
      </c>
      <c r="D61" s="4" t="inlineStr">
        <is>
          <t>Time and material</t>
        </is>
      </c>
      <c r="E61" s="4" t="inlineStr">
        <is>
          <t>High Desert</t>
        </is>
      </c>
      <c r="F61" s="4" t="inlineStr">
        <is>
          <t>Eileen Poole</t>
        </is>
      </c>
      <c r="G61" s="5" t="n">
        <v>24000</v>
      </c>
      <c r="H61" s="5" t="n">
        <v>16320</v>
      </c>
      <c r="I61" s="5" t="n">
        <v>16320</v>
      </c>
      <c r="J61" s="5" t="n">
        <v>15998.4</v>
      </c>
      <c r="K61" s="5" t="n">
        <v>15998.4</v>
      </c>
      <c r="L61" s="5" t="n">
        <v>0</v>
      </c>
      <c r="M61" s="5" t="n">
        <v>13187.18</v>
      </c>
      <c r="N61" s="5" t="n">
        <v>2811.219999999999</v>
      </c>
      <c r="O61" s="5" t="n">
        <v>2811.219999999999</v>
      </c>
      <c r="P61" s="4" t="n"/>
      <c r="Q61" s="6" t="n">
        <v>0.68</v>
      </c>
      <c r="R61" s="6" t="n">
        <v>0.8243</v>
      </c>
    </row>
    <row r="62">
      <c r="A62" s="4" t="inlineStr">
        <is>
          <t>23-PC-35486</t>
        </is>
      </c>
      <c r="B62" s="4" t="inlineStr">
        <is>
          <t>On-Call: Saltgrass Airport Apron Maritime Remote Sensing Survey</t>
        </is>
      </c>
      <c r="C62" s="4" t="inlineStr">
        <is>
          <t>In Progress</t>
        </is>
      </c>
      <c r="D62" s="4" t="inlineStr">
        <is>
          <t>Time and material</t>
        </is>
      </c>
      <c r="E62" s="4" t="inlineStr">
        <is>
          <t>High Desert</t>
        </is>
      </c>
      <c r="F62" s="4" t="inlineStr">
        <is>
          <t>Jody Wang</t>
        </is>
      </c>
      <c r="G62" s="5" t="n">
        <v>116200</v>
      </c>
      <c r="H62" s="5" t="n">
        <v>79016</v>
      </c>
      <c r="I62" s="5" t="n">
        <v>79016</v>
      </c>
      <c r="J62" s="5" t="n">
        <v>87219.72</v>
      </c>
      <c r="K62" s="5" t="n">
        <v>87219.72</v>
      </c>
      <c r="L62" s="5" t="n">
        <v>0</v>
      </c>
      <c r="M62" s="5" t="n">
        <v>78190.34</v>
      </c>
      <c r="N62" s="5" t="n">
        <v>9029.380000000005</v>
      </c>
      <c r="O62" s="5" t="n">
        <v>9029.380000000005</v>
      </c>
      <c r="P62" s="4" t="n"/>
      <c r="Q62" s="6" t="n">
        <v>0.68</v>
      </c>
      <c r="R62" s="6" t="n">
        <v>0.8965</v>
      </c>
    </row>
    <row r="63">
      <c r="A63" s="4" t="inlineStr">
        <is>
          <t>23-PC-35533</t>
        </is>
      </c>
      <c r="B63" s="4" t="inlineStr">
        <is>
          <t>Task Order 19: Granite Pass Reservoir Section 106 Consultation</t>
        </is>
      </c>
      <c r="C63" s="4" t="inlineStr">
        <is>
          <t>In Progress</t>
        </is>
      </c>
      <c r="D63" s="4" t="inlineStr">
        <is>
          <t>Fixed fee</t>
        </is>
      </c>
      <c r="E63" s="4" t="inlineStr">
        <is>
          <t>High Desert</t>
        </is>
      </c>
      <c r="F63" s="4" t="inlineStr">
        <is>
          <t>Eileen Poole</t>
        </is>
      </c>
      <c r="G63" s="5" t="n">
        <v>11400</v>
      </c>
      <c r="H63" s="5" t="n">
        <v>8681.1</v>
      </c>
      <c r="I63" s="5" t="n">
        <v>8681.1</v>
      </c>
      <c r="J63" s="5" t="n">
        <v>8206.860000000001</v>
      </c>
      <c r="K63" s="5" t="n">
        <v>8206.860000000001</v>
      </c>
      <c r="L63" s="5" t="n">
        <v>0</v>
      </c>
      <c r="M63" s="5" t="n">
        <v>6249.46</v>
      </c>
      <c r="N63" s="5" t="n">
        <v>1957.400000000001</v>
      </c>
      <c r="O63" s="5" t="n">
        <v>1957.400000000001</v>
      </c>
      <c r="P63" s="4" t="n"/>
      <c r="Q63" s="6" t="n">
        <v>0.762</v>
      </c>
      <c r="R63" s="6" t="n">
        <v>0.7615</v>
      </c>
    </row>
    <row r="64">
      <c r="A64" s="4" t="inlineStr">
        <is>
          <t>23-PC-35568</t>
        </is>
      </c>
      <c r="B64" s="4" t="inlineStr">
        <is>
          <t>Phase II: Coyote Springs Wind Farm Environmental Review Support</t>
        </is>
      </c>
      <c r="C64" s="4" t="inlineStr">
        <is>
          <t>In Progress</t>
        </is>
      </c>
      <c r="D64" s="4" t="inlineStr">
        <is>
          <t>Fixed fee</t>
        </is>
      </c>
      <c r="E64" s="4" t="inlineStr">
        <is>
          <t>High Desert</t>
        </is>
      </c>
      <c r="F64" s="4" t="inlineStr">
        <is>
          <t>Bridget Maddox</t>
        </is>
      </c>
      <c r="G64" s="5" t="n">
        <v>253600</v>
      </c>
      <c r="H64" s="5" t="n">
        <v>144374.48</v>
      </c>
      <c r="I64" s="5" t="n">
        <v>144374.48</v>
      </c>
      <c r="J64" s="5" t="n">
        <v>168365.04</v>
      </c>
      <c r="K64" s="5" t="n">
        <v>168365.04</v>
      </c>
      <c r="L64" s="5" t="n">
        <v>0</v>
      </c>
      <c r="M64" s="5" t="n">
        <v>95853.64</v>
      </c>
      <c r="N64" s="5" t="n">
        <v>72511.40000000001</v>
      </c>
      <c r="O64" s="5" t="n">
        <v>72511.40000000001</v>
      </c>
      <c r="P64" s="4" t="n"/>
      <c r="Q64" s="6" t="n">
        <v>0.569</v>
      </c>
      <c r="R64" s="6" t="n">
        <v>0.5693</v>
      </c>
    </row>
    <row r="65">
      <c r="A65" s="4" t="inlineStr">
        <is>
          <t>23-PC-35682</t>
        </is>
      </c>
      <c r="B65" s="4" t="inlineStr">
        <is>
          <t>Lantern Bay Class III Survey</t>
        </is>
      </c>
      <c r="C65" s="4" t="inlineStr">
        <is>
          <t>In Progress</t>
        </is>
      </c>
      <c r="D65" s="4" t="inlineStr">
        <is>
          <t>Fixed fee</t>
        </is>
      </c>
      <c r="E65" s="4" t="inlineStr">
        <is>
          <t>High Desert</t>
        </is>
      </c>
      <c r="F65" s="4" t="inlineStr">
        <is>
          <t>Eileen Poole</t>
        </is>
      </c>
      <c r="G65" s="5" t="n">
        <v>290400</v>
      </c>
      <c r="H65" s="5" t="n">
        <v>277361.04</v>
      </c>
      <c r="I65" s="5" t="n">
        <v>277361.04</v>
      </c>
      <c r="J65" s="5" t="n">
        <v>252938.4</v>
      </c>
      <c r="K65" s="5" t="n">
        <v>252938.4</v>
      </c>
      <c r="L65" s="5" t="n">
        <v>0</v>
      </c>
      <c r="M65" s="5" t="n">
        <v>241578.4</v>
      </c>
      <c r="N65" s="5" t="n">
        <v>11360</v>
      </c>
      <c r="O65" s="5" t="n">
        <v>11360</v>
      </c>
      <c r="P65" s="4" t="n"/>
      <c r="Q65" s="6" t="n">
        <v>0.955</v>
      </c>
      <c r="R65" s="6" t="n">
        <v>0.9550999999999999</v>
      </c>
    </row>
    <row r="66">
      <c r="A66" s="4" t="inlineStr">
        <is>
          <t>23-PC-36063</t>
        </is>
      </c>
      <c r="B66" s="4" t="inlineStr">
        <is>
          <t>Plover Cove Mine Expansion - Phase II Testing</t>
        </is>
      </c>
      <c r="C66" s="4" t="inlineStr">
        <is>
          <t>In Progress</t>
        </is>
      </c>
      <c r="D66" s="4" t="inlineStr">
        <is>
          <t>Fixed fee</t>
        </is>
      </c>
      <c r="E66" s="4" t="inlineStr">
        <is>
          <t>High Desert</t>
        </is>
      </c>
      <c r="F66" s="4" t="inlineStr">
        <is>
          <t>Kathy Hurley</t>
        </is>
      </c>
      <c r="G66" s="5" t="n">
        <v>114600</v>
      </c>
      <c r="H66" s="5" t="n">
        <v>104870.46</v>
      </c>
      <c r="I66" s="5" t="n">
        <v>104870.46</v>
      </c>
      <c r="J66" s="5" t="n">
        <v>77893.62</v>
      </c>
      <c r="K66" s="5" t="n">
        <v>77893.62</v>
      </c>
      <c r="L66" s="5" t="n">
        <v>0</v>
      </c>
      <c r="M66" s="5" t="n">
        <v>71277.07000000001</v>
      </c>
      <c r="N66" s="5" t="n">
        <v>6616.549999999988</v>
      </c>
      <c r="O66" s="5" t="n">
        <v>6616.549999999988</v>
      </c>
      <c r="P66" s="4" t="n"/>
      <c r="Q66" s="6" t="n">
        <v>0.915</v>
      </c>
      <c r="R66" s="6" t="n">
        <v>0.9151</v>
      </c>
    </row>
    <row r="67">
      <c r="A67" s="4" t="inlineStr">
        <is>
          <t>23-PC-36385</t>
        </is>
      </c>
      <c r="B67" s="4" t="inlineStr">
        <is>
          <t>On-Call: Cedar Hollow Transmission Line Paleontological Monitoring</t>
        </is>
      </c>
      <c r="C67" s="4" t="inlineStr">
        <is>
          <t>In Progress</t>
        </is>
      </c>
      <c r="D67" s="4" t="inlineStr">
        <is>
          <t>Time and material</t>
        </is>
      </c>
      <c r="E67" s="4" t="inlineStr">
        <is>
          <t>Island</t>
        </is>
      </c>
      <c r="F67" s="4" t="inlineStr">
        <is>
          <t>Maurice Dodson</t>
        </is>
      </c>
      <c r="G67" s="5" t="n">
        <v>392900</v>
      </c>
      <c r="H67" s="5" t="n">
        <v>267172</v>
      </c>
      <c r="I67" s="5" t="n">
        <v>267172</v>
      </c>
      <c r="J67" s="5" t="n">
        <v>262008.61</v>
      </c>
      <c r="K67" s="5" t="n">
        <v>207890.28</v>
      </c>
      <c r="L67" s="5" t="n">
        <v>54118.33</v>
      </c>
      <c r="M67" s="5" t="n">
        <v>185677.7</v>
      </c>
      <c r="N67" s="5" t="n">
        <v>76330.90999999997</v>
      </c>
      <c r="O67" s="5" t="n">
        <v>22212.57999999999</v>
      </c>
      <c r="P67" s="4" t="n"/>
      <c r="Q67" s="6" t="n">
        <v>0.68</v>
      </c>
      <c r="R67" s="6" t="n">
        <v>0.7087</v>
      </c>
    </row>
    <row r="68">
      <c r="A68" s="4" t="inlineStr">
        <is>
          <t>23-PC-36422</t>
        </is>
      </c>
      <c r="B68" s="4" t="inlineStr">
        <is>
          <t>Hawk Point Phase I Survey</t>
        </is>
      </c>
      <c r="C68" s="4" t="inlineStr">
        <is>
          <t>In Progress</t>
        </is>
      </c>
      <c r="D68" s="4" t="inlineStr">
        <is>
          <t>Time and material</t>
        </is>
      </c>
      <c r="E68" s="4" t="inlineStr">
        <is>
          <t>Island</t>
        </is>
      </c>
      <c r="F68" s="4" t="inlineStr">
        <is>
          <t>Joan Mathis</t>
        </is>
      </c>
      <c r="G68" s="5" t="n">
        <v>50700</v>
      </c>
      <c r="H68" s="5" t="n">
        <v>34476</v>
      </c>
      <c r="I68" s="5" t="n">
        <v>34476</v>
      </c>
      <c r="J68" s="5" t="n">
        <v>36579.06</v>
      </c>
      <c r="K68" s="5" t="n">
        <v>32790.93</v>
      </c>
      <c r="L68" s="5" t="n">
        <v>3788.13</v>
      </c>
      <c r="M68" s="5" t="n">
        <v>37409.59</v>
      </c>
      <c r="N68" s="5" t="n">
        <v>-830.5299999999988</v>
      </c>
      <c r="O68" s="5" t="n">
        <v>-4618.659999999996</v>
      </c>
      <c r="P68" s="4" t="n"/>
      <c r="Q68" s="6" t="n">
        <v>0.68</v>
      </c>
      <c r="R68" s="6" t="n">
        <v>1.0227</v>
      </c>
    </row>
    <row r="69">
      <c r="A69" s="4" t="inlineStr">
        <is>
          <t>23-PC-36530</t>
        </is>
      </c>
      <c r="B69" s="4" t="inlineStr">
        <is>
          <t>Lone Pine Architectural History Survey</t>
        </is>
      </c>
      <c r="C69" s="4" t="inlineStr">
        <is>
          <t>In Progress</t>
        </is>
      </c>
      <c r="D69" s="4" t="inlineStr">
        <is>
          <t>Time and material</t>
        </is>
      </c>
      <c r="E69" s="4" t="inlineStr">
        <is>
          <t>Island</t>
        </is>
      </c>
      <c r="F69" s="4" t="inlineStr">
        <is>
          <t>Joan Mathis</t>
        </is>
      </c>
      <c r="G69" s="5" t="n">
        <v>141100</v>
      </c>
      <c r="H69" s="5" t="n">
        <v>95948</v>
      </c>
      <c r="I69" s="5" t="n">
        <v>95948</v>
      </c>
      <c r="J69" s="5" t="n">
        <v>102823.29</v>
      </c>
      <c r="K69" s="5" t="n">
        <v>89657.45</v>
      </c>
      <c r="L69" s="5" t="n">
        <v>13165.84</v>
      </c>
      <c r="M69" s="5" t="n">
        <v>97024.25999999999</v>
      </c>
      <c r="N69" s="5" t="n">
        <v>5799.029999999999</v>
      </c>
      <c r="O69" s="5" t="n">
        <v>-7366.809999999998</v>
      </c>
      <c r="P69" s="4" t="n"/>
      <c r="Q69" s="6" t="n">
        <v>0.68</v>
      </c>
      <c r="R69" s="6" t="n">
        <v>0.9436</v>
      </c>
    </row>
    <row r="70">
      <c r="A70" s="4" t="inlineStr">
        <is>
          <t>23-PC-36687</t>
        </is>
      </c>
      <c r="B70" s="4" t="inlineStr">
        <is>
          <t>On-Call: Pine Hollow Transmission Line Environmental Review Support</t>
        </is>
      </c>
      <c r="C70" s="4" t="inlineStr">
        <is>
          <t>In Progress</t>
        </is>
      </c>
      <c r="D70" s="4" t="inlineStr">
        <is>
          <t>Fixed fee</t>
        </is>
      </c>
      <c r="E70" s="4" t="inlineStr">
        <is>
          <t>Lakeshore</t>
        </is>
      </c>
      <c r="F70" s="4" t="inlineStr">
        <is>
          <t>Jeanette Riddle</t>
        </is>
      </c>
      <c r="G70" s="5" t="n">
        <v>201000</v>
      </c>
      <c r="H70" s="5" t="n">
        <v>170226.9</v>
      </c>
      <c r="I70" s="5" t="n">
        <v>170226.9</v>
      </c>
      <c r="J70" s="5" t="n">
        <v>151513.8</v>
      </c>
      <c r="K70" s="5" t="n">
        <v>151513.8</v>
      </c>
      <c r="L70" s="5" t="n">
        <v>0</v>
      </c>
      <c r="M70" s="5" t="n">
        <v>128322.24</v>
      </c>
      <c r="N70" s="5" t="n">
        <v>23191.55999999998</v>
      </c>
      <c r="O70" s="5" t="n">
        <v>23191.55999999998</v>
      </c>
      <c r="P70" s="4" t="n"/>
      <c r="Q70" s="6" t="n">
        <v>0.847</v>
      </c>
      <c r="R70" s="6" t="n">
        <v>0.8469</v>
      </c>
    </row>
    <row r="71">
      <c r="A71" s="4" t="inlineStr">
        <is>
          <t>23-PC-36734</t>
        </is>
      </c>
      <c r="B71" s="4" t="inlineStr">
        <is>
          <t>Raven Rock Curation</t>
        </is>
      </c>
      <c r="C71" s="4" t="inlineStr">
        <is>
          <t>In Progress</t>
        </is>
      </c>
      <c r="D71" s="4" t="inlineStr">
        <is>
          <t>Fixed fee</t>
        </is>
      </c>
      <c r="E71" s="4" t="inlineStr">
        <is>
          <t>Lakeshore</t>
        </is>
      </c>
      <c r="F71" s="4" t="inlineStr">
        <is>
          <t>Terrence Gillespie</t>
        </is>
      </c>
      <c r="G71" s="5" t="n">
        <v>38600</v>
      </c>
      <c r="H71" s="5" t="n">
        <v>36284</v>
      </c>
      <c r="I71" s="5" t="n">
        <v>36284</v>
      </c>
      <c r="J71" s="5" t="n">
        <v>27753.4</v>
      </c>
      <c r="K71" s="5" t="n">
        <v>27753.4</v>
      </c>
      <c r="L71" s="5" t="n">
        <v>0</v>
      </c>
      <c r="M71" s="5" t="n">
        <v>26089.14</v>
      </c>
      <c r="N71" s="5" t="n">
        <v>1664.260000000002</v>
      </c>
      <c r="O71" s="5" t="n">
        <v>1664.260000000002</v>
      </c>
      <c r="P71" s="4" t="n"/>
      <c r="Q71" s="6" t="n">
        <v>0.9399999999999999</v>
      </c>
      <c r="R71" s="6" t="n">
        <v>0.9399999999999999</v>
      </c>
    </row>
    <row r="72">
      <c r="A72" s="4" t="inlineStr">
        <is>
          <t>23-PC-36776</t>
        </is>
      </c>
      <c r="B72" s="4" t="inlineStr">
        <is>
          <t>On-Call: Twin Buttes Trail Phase I Survey</t>
        </is>
      </c>
      <c r="C72" s="4" t="inlineStr">
        <is>
          <t>In Progress</t>
        </is>
      </c>
      <c r="D72" s="4" t="inlineStr">
        <is>
          <t>Time and material</t>
        </is>
      </c>
      <c r="E72" s="4" t="inlineStr">
        <is>
          <t>Hill Country</t>
        </is>
      </c>
      <c r="F72" s="4" t="inlineStr">
        <is>
          <t>Danielle Villanueva</t>
        </is>
      </c>
      <c r="G72" s="5" t="n">
        <v>457300</v>
      </c>
      <c r="H72" s="5" t="n">
        <v>310964</v>
      </c>
      <c r="I72" s="5" t="n">
        <v>310964</v>
      </c>
      <c r="J72" s="5" t="n">
        <v>338564.86</v>
      </c>
      <c r="K72" s="5" t="n">
        <v>268622.72</v>
      </c>
      <c r="L72" s="5" t="n">
        <v>69942.14</v>
      </c>
      <c r="M72" s="5" t="n">
        <v>214892.1</v>
      </c>
      <c r="N72" s="5" t="n">
        <v>123672.76</v>
      </c>
      <c r="O72" s="5" t="n">
        <v>53730.61999999997</v>
      </c>
      <c r="P72" s="4" t="n"/>
      <c r="Q72" s="6" t="n">
        <v>0.68</v>
      </c>
      <c r="R72" s="6" t="n">
        <v>0.6347</v>
      </c>
    </row>
    <row r="73">
      <c r="A73" s="4" t="inlineStr">
        <is>
          <t>23-PC-37105</t>
        </is>
      </c>
      <c r="B73" s="4" t="inlineStr">
        <is>
          <t>Foxglove Housing Development - Data Recovery</t>
        </is>
      </c>
      <c r="C73" s="4" t="inlineStr">
        <is>
          <t>In Progress</t>
        </is>
      </c>
      <c r="D73" s="4" t="inlineStr">
        <is>
          <t>Fixed fee</t>
        </is>
      </c>
      <c r="E73" s="4" t="inlineStr">
        <is>
          <t>Hill Country</t>
        </is>
      </c>
      <c r="F73" s="4" t="inlineStr">
        <is>
          <t>Theresa Fernandez</t>
        </is>
      </c>
      <c r="G73" s="5" t="n">
        <v>110800</v>
      </c>
      <c r="H73" s="5" t="n">
        <v>82955.96000000001</v>
      </c>
      <c r="I73" s="5" t="n">
        <v>82955.96000000001</v>
      </c>
      <c r="J73" s="5" t="n">
        <v>80165.21000000001</v>
      </c>
      <c r="K73" s="5" t="n">
        <v>73023.16</v>
      </c>
      <c r="L73" s="5" t="n">
        <v>7142.05</v>
      </c>
      <c r="M73" s="5" t="n">
        <v>60019.34</v>
      </c>
      <c r="N73" s="5" t="n">
        <v>20145.87000000001</v>
      </c>
      <c r="O73" s="5" t="n">
        <v>13003.82000000001</v>
      </c>
      <c r="P73" s="4" t="n"/>
      <c r="Q73" s="6" t="n">
        <v>0.749</v>
      </c>
      <c r="R73" s="6" t="n">
        <v>0.7487</v>
      </c>
    </row>
    <row r="74">
      <c r="A74" s="4" t="inlineStr">
        <is>
          <t>23-PC-37245</t>
        </is>
      </c>
      <c r="B74" s="4" t="inlineStr">
        <is>
          <t>Rushgrass Draw Wind Farm Archaeological Testing</t>
        </is>
      </c>
      <c r="C74" s="4" t="inlineStr">
        <is>
          <t>In Progress</t>
        </is>
      </c>
      <c r="D74" s="4" t="inlineStr">
        <is>
          <t>Fixed fee</t>
        </is>
      </c>
      <c r="E74" s="4" t="inlineStr">
        <is>
          <t>Hill Country</t>
        </is>
      </c>
      <c r="F74" s="4" t="inlineStr">
        <is>
          <t>Gail Meza</t>
        </is>
      </c>
      <c r="G74" s="5" t="n">
        <v>425700</v>
      </c>
      <c r="H74" s="5" t="n">
        <v>238392</v>
      </c>
      <c r="I74" s="5" t="n">
        <v>238392</v>
      </c>
      <c r="J74" s="5" t="n">
        <v>306248.58</v>
      </c>
      <c r="K74" s="5" t="n">
        <v>306248.58</v>
      </c>
      <c r="L74" s="5" t="n">
        <v>0</v>
      </c>
      <c r="M74" s="5" t="n">
        <v>171495.1</v>
      </c>
      <c r="N74" s="5" t="n">
        <v>134753.48</v>
      </c>
      <c r="O74" s="5" t="n">
        <v>134753.48</v>
      </c>
      <c r="P74" s="4" t="n"/>
      <c r="Q74" s="6" t="n">
        <v>0.5600000000000001</v>
      </c>
      <c r="R74" s="6" t="n">
        <v>0.5600000000000001</v>
      </c>
    </row>
    <row r="75">
      <c r="A75" s="4" t="inlineStr">
        <is>
          <t>23-PC-37568</t>
        </is>
      </c>
      <c r="B75" s="4" t="inlineStr">
        <is>
          <t>On-Call: Eagle Bend Housing Development Data Recovery</t>
        </is>
      </c>
      <c r="C75" s="4" t="inlineStr">
        <is>
          <t>In Progress</t>
        </is>
      </c>
      <c r="D75" s="4" t="inlineStr">
        <is>
          <t>Fixed fee</t>
        </is>
      </c>
      <c r="E75" s="4" t="inlineStr">
        <is>
          <t>Piedmont - Inactive</t>
        </is>
      </c>
      <c r="F75" s="4" t="inlineStr">
        <is>
          <t>Maria Parrish</t>
        </is>
      </c>
      <c r="G75" s="5" t="n">
        <v>44500</v>
      </c>
      <c r="H75" s="5" t="n">
        <v>31902.05</v>
      </c>
      <c r="I75" s="5" t="n">
        <v>31902.05</v>
      </c>
      <c r="J75" s="5" t="n">
        <v>35070.45</v>
      </c>
      <c r="K75" s="5" t="n">
        <v>35070.45</v>
      </c>
      <c r="L75" s="5" t="n">
        <v>0</v>
      </c>
      <c r="M75" s="5" t="n">
        <v>25141.75</v>
      </c>
      <c r="N75" s="5" t="n">
        <v>9928.699999999997</v>
      </c>
      <c r="O75" s="5" t="n">
        <v>9928.699999999997</v>
      </c>
      <c r="P75" s="4" t="n"/>
      <c r="Q75" s="6" t="n">
        <v>0.717</v>
      </c>
      <c r="R75" s="6" t="n">
        <v>0.7169</v>
      </c>
    </row>
    <row r="76">
      <c r="A76" s="4" t="inlineStr">
        <is>
          <t>23-PC-37590</t>
        </is>
      </c>
      <c r="B76" s="4" t="inlineStr">
        <is>
          <t>On-Call: Rushgrass Draw Water Main Environmental Review Support</t>
        </is>
      </c>
      <c r="C76" s="4" t="inlineStr">
        <is>
          <t>In Progress</t>
        </is>
      </c>
      <c r="D76" s="4" t="inlineStr">
        <is>
          <t>Fixed fee</t>
        </is>
      </c>
      <c r="E76" s="4" t="inlineStr">
        <is>
          <t>PIEDMONT - INACTIVE</t>
        </is>
      </c>
      <c r="F76" s="4" t="inlineStr">
        <is>
          <t>Annette Vaughan</t>
        </is>
      </c>
      <c r="G76" s="5" t="n">
        <v>46500</v>
      </c>
      <c r="H76" s="5" t="n">
        <v>28425.45</v>
      </c>
      <c r="I76" s="5" t="n">
        <v>28425.45</v>
      </c>
      <c r="J76" s="5" t="n">
        <v>36232.8</v>
      </c>
      <c r="K76" s="5" t="n">
        <v>36232.8</v>
      </c>
      <c r="L76" s="5" t="n">
        <v>0</v>
      </c>
      <c r="M76" s="5" t="n">
        <v>22148.93</v>
      </c>
      <c r="N76" s="5" t="n">
        <v>14083.87</v>
      </c>
      <c r="O76" s="5" t="n">
        <v>14083.87</v>
      </c>
      <c r="P76" s="4" t="n"/>
      <c r="Q76" s="6" t="n">
        <v>0.611</v>
      </c>
      <c r="R76" s="6" t="n">
        <v>0.6113</v>
      </c>
    </row>
    <row r="77">
      <c r="A77" s="4" t="inlineStr">
        <is>
          <t>23-PC-37763</t>
        </is>
      </c>
      <c r="B77" s="4" t="inlineStr">
        <is>
          <t>Bramble Creek School Campus - Environmental Review Support</t>
        </is>
      </c>
      <c r="C77" s="4" t="inlineStr">
        <is>
          <t>In Progress</t>
        </is>
      </c>
      <c r="D77" s="4" t="inlineStr">
        <is>
          <t>Time and material</t>
        </is>
      </c>
      <c r="E77" s="4" t="inlineStr">
        <is>
          <t>PIEDMONT - INACTIVE</t>
        </is>
      </c>
      <c r="F77" s="4" t="inlineStr">
        <is>
          <t>Megan Pineda</t>
        </is>
      </c>
      <c r="G77" s="5" t="n">
        <v>35000</v>
      </c>
      <c r="H77" s="5" t="n">
        <v>23800</v>
      </c>
      <c r="I77" s="5" t="n">
        <v>23800</v>
      </c>
      <c r="J77" s="5" t="n">
        <v>25056.5</v>
      </c>
      <c r="K77" s="5" t="n">
        <v>25056.5</v>
      </c>
      <c r="L77" s="5" t="n">
        <v>0</v>
      </c>
      <c r="M77" s="5" t="n">
        <v>15144.42</v>
      </c>
      <c r="N77" s="5" t="n">
        <v>9912.08</v>
      </c>
      <c r="O77" s="5" t="n">
        <v>9912.08</v>
      </c>
      <c r="P77" s="4" t="n"/>
      <c r="Q77" s="6" t="n">
        <v>0.68</v>
      </c>
      <c r="R77" s="6" t="n">
        <v>0.6044</v>
      </c>
    </row>
    <row r="78">
      <c r="A78" s="4" t="inlineStr">
        <is>
          <t>23-PC-38089</t>
        </is>
      </c>
      <c r="B78" s="4" t="inlineStr">
        <is>
          <t>Lone Pine Wastewater Plant - Phase I Survey</t>
        </is>
      </c>
      <c r="C78" s="4" t="inlineStr">
        <is>
          <t>In Progress</t>
        </is>
      </c>
      <c r="D78" s="4" t="inlineStr">
        <is>
          <t>Fixed fee</t>
        </is>
      </c>
      <c r="E78" s="4" t="inlineStr">
        <is>
          <t>Prairie</t>
        </is>
      </c>
      <c r="F78" s="4" t="inlineStr">
        <is>
          <t>Sherry Lloyd</t>
        </is>
      </c>
      <c r="G78" s="5" t="n">
        <v>110100</v>
      </c>
      <c r="H78" s="5" t="n">
        <v>75132.24000000001</v>
      </c>
      <c r="I78" s="5" t="n">
        <v>75132.24000000001</v>
      </c>
      <c r="J78" s="5" t="n">
        <v>84001.75</v>
      </c>
      <c r="K78" s="5" t="n">
        <v>72763.92</v>
      </c>
      <c r="L78" s="5" t="n">
        <v>11237.83</v>
      </c>
      <c r="M78" s="5" t="n">
        <v>57321.44</v>
      </c>
      <c r="N78" s="5" t="n">
        <v>26680.31</v>
      </c>
      <c r="O78" s="5" t="n">
        <v>15442.48</v>
      </c>
      <c r="P78" s="4" t="n"/>
      <c r="Q78" s="6" t="n">
        <v>0.6820000000000001</v>
      </c>
      <c r="R78" s="6" t="n">
        <v>0.6824</v>
      </c>
    </row>
    <row r="79">
      <c r="A79" s="4" t="inlineStr">
        <is>
          <t>23-PC-38231</t>
        </is>
      </c>
      <c r="B79" s="4" t="inlineStr">
        <is>
          <t>On-Call: Copper Flats Rail Siding Curation</t>
        </is>
      </c>
      <c r="C79" s="4" t="inlineStr">
        <is>
          <t>In Progress</t>
        </is>
      </c>
      <c r="D79" s="4" t="inlineStr">
        <is>
          <t>Time and material</t>
        </is>
      </c>
      <c r="E79" s="4" t="inlineStr">
        <is>
          <t>Prairie</t>
        </is>
      </c>
      <c r="F79" s="4" t="inlineStr">
        <is>
          <t>Sherry Lloyd</t>
        </is>
      </c>
      <c r="G79" s="5" t="n">
        <v>128200</v>
      </c>
      <c r="H79" s="5" t="n">
        <v>87176</v>
      </c>
      <c r="I79" s="5" t="n">
        <v>87176</v>
      </c>
      <c r="J79" s="5" t="n">
        <v>90073.32000000001</v>
      </c>
      <c r="K79" s="5" t="n">
        <v>90073.32000000001</v>
      </c>
      <c r="L79" s="5" t="n">
        <v>0</v>
      </c>
      <c r="M79" s="5" t="n">
        <v>73724.08</v>
      </c>
      <c r="N79" s="5" t="n">
        <v>16349.24000000001</v>
      </c>
      <c r="O79" s="5" t="n">
        <v>16349.24000000001</v>
      </c>
      <c r="P79" s="4" t="n"/>
      <c r="Q79" s="6" t="n">
        <v>0.68</v>
      </c>
      <c r="R79" s="6" t="n">
        <v>0.8185</v>
      </c>
    </row>
    <row r="80">
      <c r="A80" s="4" t="inlineStr">
        <is>
          <t>23-PC-38246</t>
        </is>
      </c>
      <c r="B80" s="4" t="inlineStr">
        <is>
          <t>Maple Fork Rail Siding - Maritime Remote Sensing Survey</t>
        </is>
      </c>
      <c r="C80" s="4" t="inlineStr">
        <is>
          <t>In Progress</t>
        </is>
      </c>
      <c r="D80" s="4" t="inlineStr">
        <is>
          <t>Fixed fee</t>
        </is>
      </c>
      <c r="E80" s="4" t="inlineStr">
        <is>
          <t>Prairie</t>
        </is>
      </c>
      <c r="F80" s="4" t="inlineStr">
        <is>
          <t>Sherry Lloyd</t>
        </is>
      </c>
      <c r="G80" s="5" t="n">
        <v>79800</v>
      </c>
      <c r="H80" s="5" t="n">
        <v>57918.84</v>
      </c>
      <c r="I80" s="5" t="n">
        <v>57918.84</v>
      </c>
      <c r="J80" s="5" t="n">
        <v>53434.08</v>
      </c>
      <c r="K80" s="5" t="n">
        <v>53434.08</v>
      </c>
      <c r="L80" s="5" t="n">
        <v>0</v>
      </c>
      <c r="M80" s="5" t="n">
        <v>38783.48</v>
      </c>
      <c r="N80" s="5" t="n">
        <v>14650.6</v>
      </c>
      <c r="O80" s="5" t="n">
        <v>14650.6</v>
      </c>
      <c r="P80" s="4" t="n"/>
      <c r="Q80" s="6" t="n">
        <v>0.726</v>
      </c>
      <c r="R80" s="6" t="n">
        <v>0.7258</v>
      </c>
    </row>
    <row r="81">
      <c r="A81" s="4" t="inlineStr">
        <is>
          <t>23-PC-38498</t>
        </is>
      </c>
      <c r="B81" s="4" t="inlineStr">
        <is>
          <t>Tansy Flat Wind Farm Built Environment Survey</t>
        </is>
      </c>
      <c r="C81" s="4" t="inlineStr">
        <is>
          <t>In Progress</t>
        </is>
      </c>
      <c r="D81" s="4" t="inlineStr">
        <is>
          <t>Fixed fee</t>
        </is>
      </c>
      <c r="E81" s="4" t="inlineStr">
        <is>
          <t>Red Rock</t>
        </is>
      </c>
      <c r="F81" s="4" t="inlineStr">
        <is>
          <t>Shelia Horne</t>
        </is>
      </c>
      <c r="G81" s="5" t="n">
        <v>67700</v>
      </c>
      <c r="H81" s="5" t="n">
        <v>56556.58</v>
      </c>
      <c r="I81" s="5" t="n">
        <v>56556.58</v>
      </c>
      <c r="J81" s="5" t="n">
        <v>44688.77</v>
      </c>
      <c r="K81" s="5" t="n">
        <v>44688.77</v>
      </c>
      <c r="L81" s="5" t="n">
        <v>0</v>
      </c>
      <c r="M81" s="5" t="n">
        <v>37332.05</v>
      </c>
      <c r="N81" s="5" t="n">
        <v>7356.719999999994</v>
      </c>
      <c r="O81" s="5" t="n">
        <v>7356.719999999994</v>
      </c>
      <c r="P81" s="4" t="n"/>
      <c r="Q81" s="6" t="n">
        <v>0.835</v>
      </c>
      <c r="R81" s="6" t="n">
        <v>0.8354</v>
      </c>
    </row>
    <row r="82">
      <c r="A82" s="4" t="inlineStr">
        <is>
          <t>23-PC-38520</t>
        </is>
      </c>
      <c r="B82" s="4" t="inlineStr">
        <is>
          <t>On-Call: Larkspur Park Improvements Built Environment Survey</t>
        </is>
      </c>
      <c r="C82" s="4" t="inlineStr">
        <is>
          <t>In Progress</t>
        </is>
      </c>
      <c r="D82" s="4" t="inlineStr">
        <is>
          <t>Time and material</t>
        </is>
      </c>
      <c r="E82" s="4" t="inlineStr">
        <is>
          <t>Red Rock</t>
        </is>
      </c>
      <c r="F82" s="4" t="inlineStr">
        <is>
          <t>Marisa Odom</t>
        </is>
      </c>
      <c r="G82" s="5" t="n">
        <v>148500</v>
      </c>
      <c r="H82" s="5" t="n">
        <v>100980</v>
      </c>
      <c r="I82" s="5" t="n">
        <v>100980</v>
      </c>
      <c r="J82" s="5" t="n">
        <v>97074.45</v>
      </c>
      <c r="K82" s="5" t="n">
        <v>97074.45</v>
      </c>
      <c r="L82" s="5" t="n">
        <v>0</v>
      </c>
      <c r="M82" s="5" t="n">
        <v>56211.48</v>
      </c>
      <c r="N82" s="5" t="n">
        <v>40862.96999999999</v>
      </c>
      <c r="O82" s="5" t="n">
        <v>40862.96999999999</v>
      </c>
      <c r="P82" s="4" t="n"/>
      <c r="Q82" s="6" t="n">
        <v>0.68</v>
      </c>
      <c r="R82" s="6" t="n">
        <v>0.5790999999999999</v>
      </c>
    </row>
    <row r="83">
      <c r="A83" s="4" t="inlineStr">
        <is>
          <t>23-PC-38666</t>
        </is>
      </c>
      <c r="B83" s="4" t="inlineStr">
        <is>
          <t>Tamarack Paleontological Monitoring</t>
        </is>
      </c>
      <c r="C83" s="4" t="inlineStr">
        <is>
          <t>In Progress</t>
        </is>
      </c>
      <c r="D83" s="4" t="inlineStr">
        <is>
          <t>Fixed fee</t>
        </is>
      </c>
      <c r="E83" s="4" t="inlineStr">
        <is>
          <t>Red Rock</t>
        </is>
      </c>
      <c r="F83" s="4" t="inlineStr">
        <is>
          <t>Bruce Suarez</t>
        </is>
      </c>
      <c r="G83" s="5" t="n">
        <v>390300</v>
      </c>
      <c r="H83" s="5" t="n">
        <v>212479.32</v>
      </c>
      <c r="I83" s="5" t="n">
        <v>212479.32</v>
      </c>
      <c r="J83" s="5" t="n">
        <v>243898.47</v>
      </c>
      <c r="K83" s="5" t="n">
        <v>243898.47</v>
      </c>
      <c r="L83" s="5" t="n">
        <v>0</v>
      </c>
      <c r="M83" s="5" t="n">
        <v>132781.77</v>
      </c>
      <c r="N83" s="5" t="n">
        <v>111116.7</v>
      </c>
      <c r="O83" s="5" t="n">
        <v>111116.7</v>
      </c>
      <c r="P83" s="4" t="n"/>
      <c r="Q83" s="6" t="n">
        <v>0.544</v>
      </c>
      <c r="R83" s="6" t="n">
        <v>0.5444</v>
      </c>
    </row>
    <row r="84">
      <c r="A84" s="4" t="inlineStr">
        <is>
          <t>23-PC-38759</t>
        </is>
      </c>
      <c r="B84" s="4" t="inlineStr">
        <is>
          <t>Saltgrass Cultural Resources Assessment</t>
        </is>
      </c>
      <c r="C84" s="4" t="inlineStr">
        <is>
          <t>Cost Tracking on Closed Project</t>
        </is>
      </c>
      <c r="D84" s="4" t="inlineStr">
        <is>
          <t>Time and material</t>
        </is>
      </c>
      <c r="E84" s="4" t="inlineStr">
        <is>
          <t>Red Rock</t>
        </is>
      </c>
      <c r="F84" s="4" t="inlineStr">
        <is>
          <t>Tina Aguirre</t>
        </is>
      </c>
      <c r="G84" s="5" t="n">
        <v>52400</v>
      </c>
      <c r="H84" s="5" t="n">
        <v>35632</v>
      </c>
      <c r="I84" s="5" t="n">
        <v>35632</v>
      </c>
      <c r="J84" s="5" t="n">
        <v>36847.68</v>
      </c>
      <c r="K84" s="5" t="n">
        <v>36847.68</v>
      </c>
      <c r="L84" s="5" t="n">
        <v>0</v>
      </c>
      <c r="M84" s="5" t="n">
        <v>40372.44</v>
      </c>
      <c r="N84" s="5" t="n">
        <v>-3524.760000000002</v>
      </c>
      <c r="O84" s="5" t="n">
        <v>-3524.760000000002</v>
      </c>
      <c r="P84" s="4" t="n"/>
      <c r="Q84" s="6" t="n">
        <v>0.68</v>
      </c>
      <c r="R84" s="6" t="n">
        <v>1.0957</v>
      </c>
    </row>
    <row r="85">
      <c r="A85" s="4" t="inlineStr">
        <is>
          <t>23-PC-38849</t>
        </is>
      </c>
      <c r="B85" s="4" t="inlineStr">
        <is>
          <t>Phase III: Copper Flats Levee Repair Curation</t>
        </is>
      </c>
      <c r="C85" s="4" t="inlineStr">
        <is>
          <t>In Progress</t>
        </is>
      </c>
      <c r="D85" s="4" t="inlineStr">
        <is>
          <t>Fixed fee</t>
        </is>
      </c>
      <c r="E85" s="4" t="inlineStr">
        <is>
          <t>Red Rock</t>
        </is>
      </c>
      <c r="F85" s="4" t="inlineStr">
        <is>
          <t>Tina Aguirre</t>
        </is>
      </c>
      <c r="G85" s="5" t="n">
        <v>109400</v>
      </c>
      <c r="H85" s="5" t="n">
        <v>86962.06</v>
      </c>
      <c r="I85" s="5" t="n">
        <v>86962.06</v>
      </c>
      <c r="J85" s="5" t="n">
        <v>83089.3</v>
      </c>
      <c r="K85" s="5" t="n">
        <v>83089.3</v>
      </c>
      <c r="L85" s="5" t="n">
        <v>0</v>
      </c>
      <c r="M85" s="5" t="n">
        <v>66048.24000000001</v>
      </c>
      <c r="N85" s="5" t="n">
        <v>17041.06</v>
      </c>
      <c r="O85" s="5" t="n">
        <v>17041.06</v>
      </c>
      <c r="P85" s="4" t="n"/>
      <c r="Q85" s="6" t="n">
        <v>0.795</v>
      </c>
      <c r="R85" s="6" t="n">
        <v>0.7949000000000001</v>
      </c>
    </row>
    <row r="86">
      <c r="A86" s="4" t="inlineStr">
        <is>
          <t>23-PC-39063</t>
        </is>
      </c>
      <c r="B86" s="4" t="inlineStr">
        <is>
          <t>Task Order 21: Badger Hollow Substation Historic Resources Evaluation</t>
        </is>
      </c>
      <c r="C86" s="4" t="inlineStr">
        <is>
          <t>Lab/Curation</t>
        </is>
      </c>
      <c r="D86" s="4" t="inlineStr">
        <is>
          <t>Time and material</t>
        </is>
      </c>
      <c r="E86" s="4" t="inlineStr">
        <is>
          <t>Red Rock</t>
        </is>
      </c>
      <c r="F86" s="4" t="inlineStr">
        <is>
          <t>Lydia Cisneros</t>
        </is>
      </c>
      <c r="G86" s="5" t="n">
        <v>24200</v>
      </c>
      <c r="H86" s="5" t="n">
        <v>16456</v>
      </c>
      <c r="I86" s="5" t="n">
        <v>16456</v>
      </c>
      <c r="J86" s="5" t="n">
        <v>17235.24</v>
      </c>
      <c r="K86" s="5" t="n">
        <v>17235.24</v>
      </c>
      <c r="L86" s="5" t="n">
        <v>0</v>
      </c>
      <c r="M86" s="5" t="n">
        <v>12296.83</v>
      </c>
      <c r="N86" s="5" t="n">
        <v>4938.410000000002</v>
      </c>
      <c r="O86" s="5" t="n">
        <v>4938.410000000002</v>
      </c>
      <c r="P86" s="4" t="n"/>
      <c r="Q86" s="6" t="n">
        <v>0.68</v>
      </c>
      <c r="R86" s="6" t="n">
        <v>0.7135</v>
      </c>
    </row>
    <row r="87">
      <c r="A87" s="4" t="inlineStr">
        <is>
          <t>23-PC-39135</t>
        </is>
      </c>
      <c r="B87" s="4" t="inlineStr">
        <is>
          <t>Phase I: Oak Terrace Reservoir Archaeological Testing</t>
        </is>
      </c>
      <c r="C87" s="4" t="inlineStr">
        <is>
          <t>In Progress</t>
        </is>
      </c>
      <c r="D87" s="4" t="inlineStr">
        <is>
          <t>Fixed fee</t>
        </is>
      </c>
      <c r="E87" s="4" t="inlineStr">
        <is>
          <t>Red Rock</t>
        </is>
      </c>
      <c r="F87" s="4" t="inlineStr">
        <is>
          <t>Jeanette Chung</t>
        </is>
      </c>
      <c r="G87" s="5" t="n">
        <v>27800</v>
      </c>
      <c r="H87" s="5" t="n">
        <v>20777.72</v>
      </c>
      <c r="I87" s="5" t="n">
        <v>20777.72</v>
      </c>
      <c r="J87" s="5" t="n">
        <v>18214.56</v>
      </c>
      <c r="K87" s="5" t="n">
        <v>18214.56</v>
      </c>
      <c r="L87" s="5" t="n">
        <v>0</v>
      </c>
      <c r="M87" s="5" t="n">
        <v>13614.39</v>
      </c>
      <c r="N87" s="5" t="n">
        <v>4600.170000000002</v>
      </c>
      <c r="O87" s="5" t="n">
        <v>4600.170000000002</v>
      </c>
      <c r="P87" s="4" t="n"/>
      <c r="Q87" s="6" t="n">
        <v>0.747</v>
      </c>
      <c r="R87" s="6" t="n">
        <v>0.7474</v>
      </c>
    </row>
    <row r="88">
      <c r="A88" s="4" t="inlineStr">
        <is>
          <t>23-PC-39323</t>
        </is>
      </c>
      <c r="B88" s="4" t="inlineStr">
        <is>
          <t>Silver Lake Battery Storage Class III Survey</t>
        </is>
      </c>
      <c r="C88" s="4" t="inlineStr">
        <is>
          <t>In Progress</t>
        </is>
      </c>
      <c r="D88" s="4" t="inlineStr">
        <is>
          <t>Fixed fee</t>
        </is>
      </c>
      <c r="E88" s="4" t="inlineStr">
        <is>
          <t>Red Rock</t>
        </is>
      </c>
      <c r="F88" s="4" t="inlineStr">
        <is>
          <t>Tina Aguirre</t>
        </is>
      </c>
      <c r="G88" s="5" t="n">
        <v>550600</v>
      </c>
      <c r="H88" s="5" t="n">
        <v>423136.1</v>
      </c>
      <c r="I88" s="5" t="n">
        <v>423136.1</v>
      </c>
      <c r="J88" s="5" t="n">
        <v>444994.92</v>
      </c>
      <c r="K88" s="5" t="n">
        <v>444994.92</v>
      </c>
      <c r="L88" s="5" t="n">
        <v>0</v>
      </c>
      <c r="M88" s="5" t="n">
        <v>341994.21</v>
      </c>
      <c r="N88" s="5" t="n">
        <v>103000.71</v>
      </c>
      <c r="O88" s="5" t="n">
        <v>103000.71</v>
      </c>
      <c r="P88" s="4" t="n"/>
      <c r="Q88" s="6" t="n">
        <v>0.768</v>
      </c>
      <c r="R88" s="6" t="n">
        <v>0.7685</v>
      </c>
    </row>
    <row r="89">
      <c r="A89" s="4" t="inlineStr">
        <is>
          <t>23-PC-39840</t>
        </is>
      </c>
      <c r="B89" s="4" t="inlineStr">
        <is>
          <t>Kestrel Butte Cell Tower - Curation</t>
        </is>
      </c>
      <c r="C89" s="4" t="inlineStr">
        <is>
          <t>In Progress</t>
        </is>
      </c>
      <c r="D89" s="4" t="inlineStr">
        <is>
          <t>Time and material</t>
        </is>
      </c>
      <c r="E89" s="4" t="inlineStr">
        <is>
          <t>Red Rock</t>
        </is>
      </c>
      <c r="F89" s="4" t="inlineStr">
        <is>
          <t>Bruce Suarez</t>
        </is>
      </c>
      <c r="G89" s="5" t="n">
        <v>237700</v>
      </c>
      <c r="H89" s="5" t="n">
        <v>164750.75</v>
      </c>
      <c r="I89" s="5" t="n">
        <v>164750.75</v>
      </c>
      <c r="J89" s="5" t="n">
        <v>173575</v>
      </c>
      <c r="K89" s="5" t="n">
        <v>132634.88</v>
      </c>
      <c r="L89" s="5" t="n">
        <v>40940.12</v>
      </c>
      <c r="M89" s="5" t="n">
        <v>88754.16</v>
      </c>
      <c r="N89" s="5" t="n">
        <v>84820.84</v>
      </c>
      <c r="O89" s="5" t="n">
        <v>43880.72</v>
      </c>
      <c r="P89" s="4" t="n"/>
      <c r="Q89" s="6" t="n">
        <v>0.6929999999999999</v>
      </c>
      <c r="R89" s="6" t="n">
        <v>0.5113</v>
      </c>
    </row>
    <row r="90">
      <c r="A90" s="4" t="inlineStr">
        <is>
          <t>23-PC-39856</t>
        </is>
      </c>
      <c r="B90" s="4" t="inlineStr">
        <is>
          <t>Phase II: Thistle Down Transmission Line Historic Resources Evaluation</t>
        </is>
      </c>
      <c r="C90" s="4" t="inlineStr">
        <is>
          <t>Final Reporting/Review</t>
        </is>
      </c>
      <c r="D90" s="4" t="inlineStr">
        <is>
          <t>Fixed fee</t>
        </is>
      </c>
      <c r="E90" s="4" t="inlineStr">
        <is>
          <t>Red Rock</t>
        </is>
      </c>
      <c r="F90" s="4" t="inlineStr">
        <is>
          <t>Bruce Suarez</t>
        </is>
      </c>
      <c r="G90" s="5" t="n">
        <v>91300</v>
      </c>
      <c r="H90" s="5" t="n">
        <v>46718.21</v>
      </c>
      <c r="I90" s="5" t="n">
        <v>46718.21</v>
      </c>
      <c r="J90" s="5" t="n">
        <v>72285.78999999999</v>
      </c>
      <c r="K90" s="5" t="n">
        <v>62922.2</v>
      </c>
      <c r="L90" s="5" t="n">
        <v>9363.59</v>
      </c>
      <c r="M90" s="5" t="n">
        <v>36987.95</v>
      </c>
      <c r="N90" s="5" t="n">
        <v>35297.84</v>
      </c>
      <c r="O90" s="5" t="n">
        <v>25934.25</v>
      </c>
      <c r="P90" s="4" t="n"/>
      <c r="Q90" s="6" t="n">
        <v>0.512</v>
      </c>
      <c r="R90" s="6" t="n">
        <v>0.5117</v>
      </c>
    </row>
    <row r="91">
      <c r="A91" s="4" t="inlineStr">
        <is>
          <t>23-PC-39857</t>
        </is>
      </c>
      <c r="B91" s="4" t="inlineStr">
        <is>
          <t>Copper Flats Highway Widening - Environmental Review Support</t>
        </is>
      </c>
      <c r="C91" s="4" t="inlineStr">
        <is>
          <t>In Progress</t>
        </is>
      </c>
      <c r="D91" s="4" t="inlineStr">
        <is>
          <t>Fixed fee</t>
        </is>
      </c>
      <c r="E91" s="4" t="inlineStr">
        <is>
          <t>Red Rock</t>
        </is>
      </c>
      <c r="F91" s="4" t="inlineStr">
        <is>
          <t>Bruce Suarez</t>
        </is>
      </c>
      <c r="G91" s="5" t="n">
        <v>69000</v>
      </c>
      <c r="H91" s="5" t="n">
        <v>40358.1</v>
      </c>
      <c r="I91" s="5" t="n">
        <v>40358.1</v>
      </c>
      <c r="J91" s="5" t="n">
        <v>58157.02</v>
      </c>
      <c r="K91" s="5" t="n">
        <v>42210.52</v>
      </c>
      <c r="L91" s="5" t="n">
        <v>15946.5</v>
      </c>
      <c r="M91" s="5" t="n">
        <v>34016</v>
      </c>
      <c r="N91" s="5" t="n">
        <v>24141.02</v>
      </c>
      <c r="O91" s="5" t="n">
        <v>8194.519999999997</v>
      </c>
      <c r="P91" s="4" t="n"/>
      <c r="Q91" s="6" t="n">
        <v>0.585</v>
      </c>
      <c r="R91" s="6" t="n">
        <v>0.5849</v>
      </c>
    </row>
    <row r="92">
      <c r="A92" s="4" t="inlineStr">
        <is>
          <t>23-PC-40028</t>
        </is>
      </c>
      <c r="B92" s="4" t="inlineStr">
        <is>
          <t>Phase II: Sumac Ridge Mixed-Use Development Section 106 Consultation</t>
        </is>
      </c>
      <c r="C92" s="4" t="inlineStr">
        <is>
          <t>In Progress</t>
        </is>
      </c>
      <c r="D92" s="4" t="inlineStr">
        <is>
          <t>Fixed fee</t>
        </is>
      </c>
      <c r="E92" s="4" t="inlineStr">
        <is>
          <t>Red Rock</t>
        </is>
      </c>
      <c r="F92" s="4" t="inlineStr">
        <is>
          <t>Bruce Suarez</t>
        </is>
      </c>
      <c r="G92" s="5" t="n">
        <v>100900</v>
      </c>
      <c r="H92" s="5" t="n">
        <v>67905.7</v>
      </c>
      <c r="I92" s="5" t="n">
        <v>67905.7</v>
      </c>
      <c r="J92" s="5" t="n">
        <v>70256.67</v>
      </c>
      <c r="K92" s="5" t="n">
        <v>70256.67</v>
      </c>
      <c r="L92" s="5" t="n">
        <v>0</v>
      </c>
      <c r="M92" s="5" t="n">
        <v>47284.49</v>
      </c>
      <c r="N92" s="5" t="n">
        <v>22972.18</v>
      </c>
      <c r="O92" s="5" t="n">
        <v>22972.18</v>
      </c>
      <c r="P92" s="4" t="n"/>
      <c r="Q92" s="6" t="n">
        <v>0.673</v>
      </c>
      <c r="R92" s="6" t="n">
        <v>0.673</v>
      </c>
    </row>
    <row r="93">
      <c r="A93" s="4" t="inlineStr">
        <is>
          <t>23-PC-40052</t>
        </is>
      </c>
      <c r="B93" s="4" t="inlineStr">
        <is>
          <t>Oak Terrace Transmission Line Cultural Resources Monitoring</t>
        </is>
      </c>
      <c r="C93" s="4" t="inlineStr">
        <is>
          <t>In Progress</t>
        </is>
      </c>
      <c r="D93" s="4" t="inlineStr">
        <is>
          <t>Time and material</t>
        </is>
      </c>
      <c r="E93" s="4" t="inlineStr">
        <is>
          <t>Red Rock</t>
        </is>
      </c>
      <c r="F93" s="4" t="inlineStr">
        <is>
          <t>Javier Newman</t>
        </is>
      </c>
      <c r="G93" s="5" t="n">
        <v>119500</v>
      </c>
      <c r="H93" s="5" t="n">
        <v>103480.5</v>
      </c>
      <c r="I93" s="5" t="n">
        <v>103480.5</v>
      </c>
      <c r="J93" s="5" t="n">
        <v>80196.45</v>
      </c>
      <c r="K93" s="5" t="n">
        <v>80196.45</v>
      </c>
      <c r="L93" s="5" t="n">
        <v>0</v>
      </c>
      <c r="M93" s="5" t="n">
        <v>70430.41</v>
      </c>
      <c r="N93" s="5" t="n">
        <v>9766.039999999994</v>
      </c>
      <c r="O93" s="5" t="n">
        <v>9766.039999999994</v>
      </c>
      <c r="P93" s="4" t="n"/>
      <c r="Q93" s="6" t="n">
        <v>0.866</v>
      </c>
      <c r="R93" s="6" t="n">
        <v>0.8782</v>
      </c>
    </row>
    <row r="94">
      <c r="A94" s="4" t="inlineStr">
        <is>
          <t>23-PC-40150</t>
        </is>
      </c>
      <c r="B94" s="4" t="inlineStr">
        <is>
          <t>Juniper Wash Curation</t>
        </is>
      </c>
      <c r="C94" s="4" t="inlineStr">
        <is>
          <t>In Progress</t>
        </is>
      </c>
      <c r="D94" s="4" t="inlineStr">
        <is>
          <t>Time and material</t>
        </is>
      </c>
      <c r="E94" s="4" t="inlineStr">
        <is>
          <t>Sierra North</t>
        </is>
      </c>
      <c r="F94" s="4" t="inlineStr">
        <is>
          <t>Benjamin Mathis</t>
        </is>
      </c>
      <c r="G94" s="5" t="n">
        <v>114700</v>
      </c>
      <c r="H94" s="5" t="n">
        <v>90325.75</v>
      </c>
      <c r="I94" s="5" t="n">
        <v>90325.75</v>
      </c>
      <c r="J94" s="5" t="n">
        <v>73316.24000000001</v>
      </c>
      <c r="K94" s="5" t="n">
        <v>73316.24000000001</v>
      </c>
      <c r="L94" s="5" t="n">
        <v>0</v>
      </c>
      <c r="M94" s="5" t="n">
        <v>47860.76</v>
      </c>
      <c r="N94" s="5" t="n">
        <v>25455.48</v>
      </c>
      <c r="O94" s="5" t="n">
        <v>25455.48</v>
      </c>
      <c r="P94" s="4" t="n"/>
      <c r="Q94" s="6" t="n">
        <v>0.787</v>
      </c>
      <c r="R94" s="6" t="n">
        <v>0.6528</v>
      </c>
    </row>
    <row r="95">
      <c r="A95" s="4" t="inlineStr">
        <is>
          <t>23-PC-40387</t>
        </is>
      </c>
      <c r="B95" s="4" t="inlineStr">
        <is>
          <t>Copper Flats Trail Paleontological Monitoring</t>
        </is>
      </c>
      <c r="C95" s="4" t="inlineStr">
        <is>
          <t>Lab/Curation</t>
        </is>
      </c>
      <c r="D95" s="4" t="inlineStr">
        <is>
          <t>Fixed fee</t>
        </is>
      </c>
      <c r="E95" s="4" t="inlineStr">
        <is>
          <t>Sierra North</t>
        </is>
      </c>
      <c r="F95" s="4" t="inlineStr">
        <is>
          <t>Louis Huff</t>
        </is>
      </c>
      <c r="G95" s="5" t="n">
        <v>145000</v>
      </c>
      <c r="H95" s="5" t="n">
        <v>82244</v>
      </c>
      <c r="I95" s="5" t="n">
        <v>82244</v>
      </c>
      <c r="J95" s="5" t="n">
        <v>97266</v>
      </c>
      <c r="K95" s="5" t="n">
        <v>97266</v>
      </c>
      <c r="L95" s="5" t="n">
        <v>0</v>
      </c>
      <c r="M95" s="5" t="n">
        <v>55173.29</v>
      </c>
      <c r="N95" s="5" t="n">
        <v>42092.71</v>
      </c>
      <c r="O95" s="5" t="n">
        <v>42092.71</v>
      </c>
      <c r="P95" s="4" t="n"/>
      <c r="Q95" s="6" t="n">
        <v>0.5669999999999999</v>
      </c>
      <c r="R95" s="6" t="n">
        <v>0.5672</v>
      </c>
    </row>
    <row r="96">
      <c r="A96" s="4" t="inlineStr">
        <is>
          <t>23-PC-40402</t>
        </is>
      </c>
      <c r="B96" s="4" t="inlineStr">
        <is>
          <t>Pebble Beach Road Architectural History Survey</t>
        </is>
      </c>
      <c r="C96" s="4" t="inlineStr">
        <is>
          <t>In Progress</t>
        </is>
      </c>
      <c r="D96" s="4" t="inlineStr">
        <is>
          <t>Fixed fee</t>
        </is>
      </c>
      <c r="E96" s="4" t="inlineStr">
        <is>
          <t>Sierra North</t>
        </is>
      </c>
      <c r="F96" s="4" t="inlineStr">
        <is>
          <t>Louis Huff</t>
        </is>
      </c>
      <c r="G96" s="5" t="n">
        <v>411600</v>
      </c>
      <c r="H96" s="5" t="n">
        <v>333190.2</v>
      </c>
      <c r="I96" s="5" t="n">
        <v>333190.2</v>
      </c>
      <c r="J96" s="5" t="n">
        <v>302937.6</v>
      </c>
      <c r="K96" s="5" t="n">
        <v>302937.6</v>
      </c>
      <c r="L96" s="5" t="n">
        <v>0</v>
      </c>
      <c r="M96" s="5" t="n">
        <v>245232.54</v>
      </c>
      <c r="N96" s="5" t="n">
        <v>57705.05999999997</v>
      </c>
      <c r="O96" s="5" t="n">
        <v>57705.05999999997</v>
      </c>
      <c r="P96" s="4" t="n"/>
      <c r="Q96" s="6" t="n">
        <v>0.8090000000000001</v>
      </c>
      <c r="R96" s="6" t="n">
        <v>0.8095</v>
      </c>
    </row>
    <row r="97">
      <c r="A97" s="4" t="inlineStr">
        <is>
          <t>23-PC-40406</t>
        </is>
      </c>
      <c r="B97" s="4" t="inlineStr">
        <is>
          <t>Maple Fork Airport Apron Environmental Review Support</t>
        </is>
      </c>
      <c r="C97" s="4" t="inlineStr">
        <is>
          <t>In Progress</t>
        </is>
      </c>
      <c r="D97" s="4" t="inlineStr">
        <is>
          <t>Time and material</t>
        </is>
      </c>
      <c r="E97" s="4" t="inlineStr">
        <is>
          <t>Sierra</t>
        </is>
      </c>
      <c r="F97" s="4" t="inlineStr">
        <is>
          <t>Louis Huff</t>
        </is>
      </c>
      <c r="G97" s="5" t="n">
        <v>60100</v>
      </c>
      <c r="H97" s="5" t="n">
        <v>40868</v>
      </c>
      <c r="I97" s="5" t="n">
        <v>40868</v>
      </c>
      <c r="J97" s="5" t="n">
        <v>40631.14</v>
      </c>
      <c r="K97" s="5" t="n">
        <v>34425.27</v>
      </c>
      <c r="L97" s="5" t="n">
        <v>6205.87</v>
      </c>
      <c r="M97" s="5" t="n">
        <v>33352.18</v>
      </c>
      <c r="N97" s="5" t="n">
        <v>7278.959999999999</v>
      </c>
      <c r="O97" s="5" t="n">
        <v>1073.089999999997</v>
      </c>
      <c r="P97" s="4" t="n"/>
      <c r="Q97" s="6" t="n">
        <v>0.68</v>
      </c>
      <c r="R97" s="6" t="n">
        <v>0.8209</v>
      </c>
    </row>
    <row r="98">
      <c r="A98" s="4" t="inlineStr">
        <is>
          <t>23-PC-40469</t>
        </is>
      </c>
      <c r="B98" s="4" t="inlineStr">
        <is>
          <t>On-Call: Badger Hollow School Campus Built Environment Survey</t>
        </is>
      </c>
      <c r="C98" s="4" t="inlineStr">
        <is>
          <t>In Progress</t>
        </is>
      </c>
      <c r="D98" s="4" t="inlineStr">
        <is>
          <t>Fixed fee</t>
        </is>
      </c>
      <c r="E98" s="4" t="inlineStr">
        <is>
          <t>Sierra South</t>
        </is>
      </c>
      <c r="F98" s="4" t="inlineStr">
        <is>
          <t>Benjamin Mathis</t>
        </is>
      </c>
      <c r="G98" s="5" t="n">
        <v>53900</v>
      </c>
      <c r="H98" s="5" t="n">
        <v>38516.94</v>
      </c>
      <c r="I98" s="5" t="n">
        <v>38516.94</v>
      </c>
      <c r="J98" s="5" t="n">
        <v>40910.1</v>
      </c>
      <c r="K98" s="5" t="n">
        <v>40910.1</v>
      </c>
      <c r="L98" s="5" t="n">
        <v>0</v>
      </c>
      <c r="M98" s="5" t="n">
        <v>29233.55</v>
      </c>
      <c r="N98" s="5" t="n">
        <v>11676.55</v>
      </c>
      <c r="O98" s="5" t="n">
        <v>11676.55</v>
      </c>
      <c r="P98" s="4" t="n"/>
      <c r="Q98" s="6" t="n">
        <v>0.715</v>
      </c>
      <c r="R98" s="6" t="n">
        <v>0.7146</v>
      </c>
    </row>
    <row r="99">
      <c r="A99" s="4" t="inlineStr">
        <is>
          <t>23-PC-40493</t>
        </is>
      </c>
      <c r="B99" s="4" t="inlineStr">
        <is>
          <t>Phase III: Quail Run Rail Siding Phase I Survey</t>
        </is>
      </c>
      <c r="C99" s="4" t="inlineStr">
        <is>
          <t>In Progress</t>
        </is>
      </c>
      <c r="D99" s="4" t="inlineStr">
        <is>
          <t>Fixed fee</t>
        </is>
      </c>
      <c r="E99" s="4" t="inlineStr">
        <is>
          <t>Sierra</t>
        </is>
      </c>
      <c r="F99" s="4" t="inlineStr">
        <is>
          <t>Benjamin Mathis</t>
        </is>
      </c>
      <c r="G99" s="5" t="n">
        <v>84700</v>
      </c>
      <c r="H99" s="5" t="n">
        <v>53513.46</v>
      </c>
      <c r="I99" s="5" t="n">
        <v>53513.46</v>
      </c>
      <c r="J99" s="5" t="n">
        <v>57130.15</v>
      </c>
      <c r="K99" s="5" t="n">
        <v>57130.15</v>
      </c>
      <c r="L99" s="5" t="n">
        <v>0</v>
      </c>
      <c r="M99" s="5" t="n">
        <v>36092.25</v>
      </c>
      <c r="N99" s="5" t="n">
        <v>21037.9</v>
      </c>
      <c r="O99" s="5" t="n">
        <v>21037.9</v>
      </c>
      <c r="P99" s="4" t="n"/>
      <c r="Q99" s="6" t="n">
        <v>0.632</v>
      </c>
      <c r="R99" s="6" t="n">
        <v>0.6318</v>
      </c>
    </row>
    <row r="100">
      <c r="A100" s="4" t="inlineStr">
        <is>
          <t>23-PC-40519</t>
        </is>
      </c>
      <c r="B100" s="4" t="inlineStr">
        <is>
          <t>Windmill Flat Mixed-Use Development - Class III Survey</t>
        </is>
      </c>
      <c r="C100" s="4" t="inlineStr">
        <is>
          <t>In Progress</t>
        </is>
      </c>
      <c r="D100" s="4" t="inlineStr">
        <is>
          <t>Fixed fee</t>
        </is>
      </c>
      <c r="E100" s="4" t="inlineStr">
        <is>
          <t>Sierra South</t>
        </is>
      </c>
      <c r="F100" s="4" t="inlineStr">
        <is>
          <t>Donna Herring</t>
        </is>
      </c>
      <c r="G100" s="5" t="n">
        <v>194700</v>
      </c>
      <c r="H100" s="5" t="n">
        <v>140203.47</v>
      </c>
      <c r="I100" s="5" t="n">
        <v>140203.47</v>
      </c>
      <c r="J100" s="5" t="n">
        <v>157875.18</v>
      </c>
      <c r="K100" s="5" t="n">
        <v>136847.52</v>
      </c>
      <c r="L100" s="5" t="n">
        <v>21027.66</v>
      </c>
      <c r="M100" s="5" t="n">
        <v>113693.31</v>
      </c>
      <c r="N100" s="5" t="n">
        <v>44181.87</v>
      </c>
      <c r="O100" s="5" t="n">
        <v>23154.20999999999</v>
      </c>
      <c r="P100" s="4" t="n"/>
      <c r="Q100" s="6" t="n">
        <v>0.72</v>
      </c>
      <c r="R100" s="6" t="n">
        <v>0.7201</v>
      </c>
    </row>
    <row r="101">
      <c r="A101" s="4" t="inlineStr">
        <is>
          <t>23-PC-40537</t>
        </is>
      </c>
      <c r="B101" s="4" t="inlineStr">
        <is>
          <t>Phase I: Tamarack Airport Apron Section 106 Consultation</t>
        </is>
      </c>
      <c r="C101" s="4" t="inlineStr">
        <is>
          <t>Lab/Curation</t>
        </is>
      </c>
      <c r="D101" s="4" t="inlineStr">
        <is>
          <t>Fixed fee</t>
        </is>
      </c>
      <c r="E101" s="4" t="inlineStr">
        <is>
          <t>Sierra</t>
        </is>
      </c>
      <c r="F101" s="4" t="inlineStr">
        <is>
          <t>Louis Huff</t>
        </is>
      </c>
      <c r="G101" s="5" t="n">
        <v>76500</v>
      </c>
      <c r="H101" s="5" t="n">
        <v>76500</v>
      </c>
      <c r="I101" s="5" t="n">
        <v>76500</v>
      </c>
      <c r="J101" s="5" t="n">
        <v>58746.94</v>
      </c>
      <c r="K101" s="5" t="n">
        <v>55119.6</v>
      </c>
      <c r="L101" s="5" t="n">
        <v>3627.34</v>
      </c>
      <c r="M101" s="5" t="n">
        <v>63236.56</v>
      </c>
      <c r="N101" s="5" t="n">
        <v>-4489.619999999995</v>
      </c>
      <c r="O101" s="5" t="n">
        <v>-8116.959999999999</v>
      </c>
      <c r="P101" s="4" t="n"/>
      <c r="Q101" s="6" t="n">
        <v>1</v>
      </c>
      <c r="R101" s="6" t="n">
        <v>1.0764</v>
      </c>
    </row>
    <row r="102">
      <c r="A102" s="4" t="inlineStr">
        <is>
          <t>23-PC-40627</t>
        </is>
      </c>
      <c r="B102" s="4" t="inlineStr">
        <is>
          <t>Ember Valley Solar - Phase I Survey</t>
        </is>
      </c>
      <c r="C102" s="4" t="inlineStr">
        <is>
          <t>In Progress</t>
        </is>
      </c>
      <c r="D102" s="4" t="inlineStr">
        <is>
          <t>Fixed fee</t>
        </is>
      </c>
      <c r="E102" s="4" t="inlineStr">
        <is>
          <t>Sierra</t>
        </is>
      </c>
      <c r="F102" s="4" t="inlineStr">
        <is>
          <t>Louis Huff</t>
        </is>
      </c>
      <c r="G102" s="5" t="n">
        <v>71300</v>
      </c>
      <c r="H102" s="5" t="n">
        <v>44163.22</v>
      </c>
      <c r="I102" s="5" t="n">
        <v>44163.22</v>
      </c>
      <c r="J102" s="5" t="n">
        <v>38273.84</v>
      </c>
      <c r="K102" s="5" t="n">
        <v>38273.84</v>
      </c>
      <c r="L102" s="5" t="n">
        <v>0</v>
      </c>
      <c r="M102" s="5" t="n">
        <v>23707.44</v>
      </c>
      <c r="N102" s="5" t="n">
        <v>14566.4</v>
      </c>
      <c r="O102" s="5" t="n">
        <v>14566.4</v>
      </c>
      <c r="P102" s="4" t="n"/>
      <c r="Q102" s="6" t="n">
        <v>0.619</v>
      </c>
      <c r="R102" s="6" t="n">
        <v>0.6194</v>
      </c>
    </row>
    <row r="103">
      <c r="A103" s="4" t="inlineStr">
        <is>
          <t>23-PC-41134</t>
        </is>
      </c>
      <c r="B103" s="4" t="inlineStr">
        <is>
          <t>Creosote Draw Park Improvements Class III Survey</t>
        </is>
      </c>
      <c r="C103" s="4" t="inlineStr">
        <is>
          <t>In Progress</t>
        </is>
      </c>
      <c r="D103" s="4" t="inlineStr">
        <is>
          <t>Time and material</t>
        </is>
      </c>
      <c r="E103" s="4" t="inlineStr">
        <is>
          <t>Coastal Bend</t>
        </is>
      </c>
      <c r="F103" s="4" t="inlineStr">
        <is>
          <t>Steve Rubio</t>
        </is>
      </c>
      <c r="G103" s="5" t="n">
        <v>56300</v>
      </c>
      <c r="H103" s="5" t="n">
        <v>38284</v>
      </c>
      <c r="I103" s="5" t="n">
        <v>38284</v>
      </c>
      <c r="J103" s="5" t="n">
        <v>42714.81</v>
      </c>
      <c r="K103" s="5" t="n">
        <v>42714.81</v>
      </c>
      <c r="L103" s="5" t="n">
        <v>0</v>
      </c>
      <c r="M103" s="5" t="n">
        <v>47948.89</v>
      </c>
      <c r="N103" s="5" t="n">
        <v>-5234.080000000002</v>
      </c>
      <c r="O103" s="5" t="n">
        <v>-5234.080000000002</v>
      </c>
      <c r="P103" s="4" t="n"/>
      <c r="Q103" s="6" t="n">
        <v>0.68</v>
      </c>
      <c r="R103" s="6" t="n">
        <v>1.1225</v>
      </c>
    </row>
    <row r="104">
      <c r="A104" s="4" t="inlineStr">
        <is>
          <t>23-PC-41207</t>
        </is>
      </c>
      <c r="B104" s="4" t="inlineStr">
        <is>
          <t>Goldfinch Maritime Remote Sensing Survey</t>
        </is>
      </c>
      <c r="C104" s="4" t="inlineStr">
        <is>
          <t>In Progress</t>
        </is>
      </c>
      <c r="D104" s="4" t="inlineStr">
        <is>
          <t>Fixed fee</t>
        </is>
      </c>
      <c r="E104" s="4" t="inlineStr">
        <is>
          <t>Coastal Bend</t>
        </is>
      </c>
      <c r="F104" s="4" t="inlineStr">
        <is>
          <t>Jared Choi</t>
        </is>
      </c>
      <c r="G104" s="5" t="n">
        <v>33100</v>
      </c>
      <c r="H104" s="5" t="n">
        <v>24874.65</v>
      </c>
      <c r="I104" s="5" t="n">
        <v>24874.65</v>
      </c>
      <c r="J104" s="5" t="n">
        <v>29128</v>
      </c>
      <c r="K104" s="5" t="n">
        <v>29128</v>
      </c>
      <c r="L104" s="5" t="n">
        <v>0</v>
      </c>
      <c r="M104" s="5" t="n">
        <v>21890.46</v>
      </c>
      <c r="N104" s="5" t="n">
        <v>7237.540000000001</v>
      </c>
      <c r="O104" s="5" t="n">
        <v>7237.540000000001</v>
      </c>
      <c r="P104" s="4" t="n"/>
      <c r="Q104" s="6" t="n">
        <v>0.751</v>
      </c>
      <c r="R104" s="6" t="n">
        <v>0.7514999999999999</v>
      </c>
    </row>
    <row r="105">
      <c r="A105" s="4" t="inlineStr">
        <is>
          <t>23-PC-41285</t>
        </is>
      </c>
      <c r="B105" s="4" t="inlineStr">
        <is>
          <t>Phase III: Ember Valley Park Improvements Data Recovery</t>
        </is>
      </c>
      <c r="C105" s="4" t="inlineStr">
        <is>
          <t>Cost Tracking on Closed Project</t>
        </is>
      </c>
      <c r="D105" s="4" t="inlineStr">
        <is>
          <t>Fixed fee</t>
        </is>
      </c>
      <c r="E105" s="4" t="inlineStr">
        <is>
          <t>Coastal Bend</t>
        </is>
      </c>
      <c r="F105" s="4" t="inlineStr">
        <is>
          <t>Diane Daniels</t>
        </is>
      </c>
      <c r="G105" s="5" t="n">
        <v>349600</v>
      </c>
      <c r="H105" s="5" t="n">
        <v>349600</v>
      </c>
      <c r="I105" s="5" t="n">
        <v>349600</v>
      </c>
      <c r="J105" s="5" t="n">
        <v>221087.04</v>
      </c>
      <c r="K105" s="5" t="n">
        <v>221087.04</v>
      </c>
      <c r="L105" s="5" t="n">
        <v>0</v>
      </c>
      <c r="M105" s="5" t="n">
        <v>229204.35</v>
      </c>
      <c r="N105" s="5" t="n">
        <v>-8117.309999999998</v>
      </c>
      <c r="O105" s="5" t="n">
        <v>-8117.309999999998</v>
      </c>
      <c r="P105" s="4" t="n"/>
      <c r="Q105" s="6" t="n">
        <v>1</v>
      </c>
      <c r="R105" s="6" t="n">
        <v>1.0367</v>
      </c>
    </row>
    <row r="106">
      <c r="A106" s="4" t="inlineStr">
        <is>
          <t>23-PC-41314</t>
        </is>
      </c>
      <c r="B106" s="4" t="inlineStr">
        <is>
          <t>Raven Rock Transmission Line - Maritime Remote Sensing Survey</t>
        </is>
      </c>
      <c r="C106" s="4" t="inlineStr">
        <is>
          <t>In Progress</t>
        </is>
      </c>
      <c r="D106" s="4" t="inlineStr">
        <is>
          <t>Fixed fee</t>
        </is>
      </c>
      <c r="E106" s="4" t="inlineStr">
        <is>
          <t>Coastal Bend</t>
        </is>
      </c>
      <c r="F106" s="4" t="inlineStr">
        <is>
          <t>Jared Choi</t>
        </is>
      </c>
      <c r="G106" s="5" t="n">
        <v>38800</v>
      </c>
      <c r="H106" s="5" t="n">
        <v>28161.04</v>
      </c>
      <c r="I106" s="5" t="n">
        <v>28161.04</v>
      </c>
      <c r="J106" s="5" t="n">
        <v>29503.45</v>
      </c>
      <c r="K106" s="5" t="n">
        <v>22168.08</v>
      </c>
      <c r="L106" s="5" t="n">
        <v>7335.37</v>
      </c>
      <c r="M106" s="5" t="n">
        <v>21412.36</v>
      </c>
      <c r="N106" s="5" t="n">
        <v>8091.09</v>
      </c>
      <c r="O106" s="5" t="n">
        <v>755.7200000000012</v>
      </c>
      <c r="P106" s="4" t="n"/>
      <c r="Q106" s="6" t="n">
        <v>0.726</v>
      </c>
      <c r="R106" s="6" t="n">
        <v>0.7258</v>
      </c>
    </row>
    <row r="107">
      <c r="A107" s="4" t="inlineStr">
        <is>
          <t>23-PC-41378</t>
        </is>
      </c>
      <c r="B107" s="4" t="inlineStr">
        <is>
          <t>Thistle Down Cultural Resources Assessment</t>
        </is>
      </c>
      <c r="C107" s="4" t="inlineStr">
        <is>
          <t>In Progress</t>
        </is>
      </c>
      <c r="D107" s="4" t="inlineStr">
        <is>
          <t>Fixed fee</t>
        </is>
      </c>
      <c r="E107" s="4" t="inlineStr">
        <is>
          <t>Coastal Bend</t>
        </is>
      </c>
      <c r="F107" s="4" t="inlineStr">
        <is>
          <t>Duane Ballard</t>
        </is>
      </c>
      <c r="G107" s="5" t="n">
        <v>170800</v>
      </c>
      <c r="H107" s="5" t="n">
        <v>95511.36</v>
      </c>
      <c r="I107" s="5" t="n">
        <v>95511.36</v>
      </c>
      <c r="J107" s="5" t="n">
        <v>91151.10000000001</v>
      </c>
      <c r="K107" s="5" t="n">
        <v>67330.2</v>
      </c>
      <c r="L107" s="5" t="n">
        <v>23820.9</v>
      </c>
      <c r="M107" s="5" t="n">
        <v>50973.67</v>
      </c>
      <c r="N107" s="5" t="n">
        <v>40177.43000000001</v>
      </c>
      <c r="O107" s="5" t="n">
        <v>16356.53</v>
      </c>
      <c r="P107" s="4" t="n"/>
      <c r="Q107" s="6" t="n">
        <v>0.5590000000000001</v>
      </c>
      <c r="R107" s="6" t="n">
        <v>0.5592</v>
      </c>
    </row>
    <row r="108">
      <c r="A108" s="4" t="inlineStr">
        <is>
          <t>23-PC-41424</t>
        </is>
      </c>
      <c r="B108" s="4" t="inlineStr">
        <is>
          <t>Harbor View Park Improvements - Cultural Resources Assessment</t>
        </is>
      </c>
      <c r="C108" s="4" t="inlineStr">
        <is>
          <t>Transferred Entity</t>
        </is>
      </c>
      <c r="D108" s="4" t="inlineStr">
        <is>
          <t>Fixed fee</t>
        </is>
      </c>
      <c r="E108" s="4" t="inlineStr">
        <is>
          <t>Coastal Bend</t>
        </is>
      </c>
      <c r="F108" s="4" t="inlineStr">
        <is>
          <t>Duane Ballard</t>
        </is>
      </c>
      <c r="G108" s="5" t="n">
        <v>132000</v>
      </c>
      <c r="H108" s="5" t="n">
        <v>92584.8</v>
      </c>
      <c r="I108" s="5" t="n">
        <v>92584.8</v>
      </c>
      <c r="J108" s="5" t="n">
        <v>108108</v>
      </c>
      <c r="K108" s="5" t="n">
        <v>108108</v>
      </c>
      <c r="L108" s="5" t="n">
        <v>0</v>
      </c>
      <c r="M108" s="5" t="n">
        <v>75830.35000000001</v>
      </c>
      <c r="N108" s="5" t="n">
        <v>32277.64999999999</v>
      </c>
      <c r="O108" s="5" t="n">
        <v>32277.64999999999</v>
      </c>
      <c r="P108" s="4" t="n"/>
      <c r="Q108" s="6" t="n">
        <v>0.701</v>
      </c>
      <c r="R108" s="6" t="n">
        <v>0.7014</v>
      </c>
    </row>
    <row r="109">
      <c r="A109" s="4" t="inlineStr">
        <is>
          <t>23-PC-41429</t>
        </is>
      </c>
      <c r="B109" s="4" t="inlineStr">
        <is>
          <t>Meadowlark Housing Development - Phase II Testing</t>
        </is>
      </c>
      <c r="C109" s="4" t="inlineStr">
        <is>
          <t>In Progress</t>
        </is>
      </c>
      <c r="D109" s="4" t="inlineStr">
        <is>
          <t>Time and material</t>
        </is>
      </c>
      <c r="E109" s="4" t="inlineStr">
        <is>
          <t>Coastal Bend</t>
        </is>
      </c>
      <c r="F109" s="4" t="inlineStr">
        <is>
          <t>Duane Ballard</t>
        </is>
      </c>
      <c r="G109" s="5" t="n">
        <v>1924200</v>
      </c>
      <c r="H109" s="5" t="n">
        <v>1308456</v>
      </c>
      <c r="I109" s="5" t="n">
        <v>1308456</v>
      </c>
      <c r="J109" s="5" t="n">
        <v>1334625.12</v>
      </c>
      <c r="K109" s="5" t="n">
        <v>1334625.12</v>
      </c>
      <c r="L109" s="5" t="n">
        <v>0</v>
      </c>
      <c r="M109" s="5" t="n">
        <v>884955.35</v>
      </c>
      <c r="N109" s="5" t="n">
        <v>449669.7700000001</v>
      </c>
      <c r="O109" s="5" t="n">
        <v>449669.7700000001</v>
      </c>
      <c r="P109" s="4" t="n"/>
      <c r="Q109" s="6" t="n">
        <v>0.68</v>
      </c>
      <c r="R109" s="6" t="n">
        <v>0.6631</v>
      </c>
    </row>
    <row r="110">
      <c r="A110" s="4" t="inlineStr">
        <is>
          <t>23-PC-41602</t>
        </is>
      </c>
      <c r="B110" s="4" t="inlineStr">
        <is>
          <t>Wren Hollow Cultural Resources Monitoring</t>
        </is>
      </c>
      <c r="C110" s="4" t="inlineStr">
        <is>
          <t>Lab/Curation</t>
        </is>
      </c>
      <c r="D110" s="4" t="inlineStr">
        <is>
          <t>Fixed fee</t>
        </is>
      </c>
      <c r="E110" s="4" t="inlineStr">
        <is>
          <t>Coastal Bend</t>
        </is>
      </c>
      <c r="F110" s="4" t="inlineStr">
        <is>
          <t>Alexis Nixon</t>
        </is>
      </c>
      <c r="G110" s="5" t="n">
        <v>755000</v>
      </c>
      <c r="H110" s="5" t="n">
        <v>705170</v>
      </c>
      <c r="I110" s="5" t="n">
        <v>705170</v>
      </c>
      <c r="J110" s="5" t="n">
        <v>444695</v>
      </c>
      <c r="K110" s="5" t="n">
        <v>444695</v>
      </c>
      <c r="L110" s="5" t="n">
        <v>0</v>
      </c>
      <c r="M110" s="5" t="n">
        <v>415325.46</v>
      </c>
      <c r="N110" s="5" t="n">
        <v>29369.53999999998</v>
      </c>
      <c r="O110" s="5" t="n">
        <v>29369.53999999998</v>
      </c>
      <c r="P110" s="4" t="n"/>
      <c r="Q110" s="6" t="n">
        <v>0.9340000000000001</v>
      </c>
      <c r="R110" s="6" t="n">
        <v>0.9340000000000001</v>
      </c>
    </row>
    <row r="111">
      <c r="A111" s="4" t="inlineStr">
        <is>
          <t>23-PC-41613</t>
        </is>
      </c>
      <c r="B111" s="4" t="inlineStr">
        <is>
          <t>Tamarack School Campus Archaeological Testing</t>
        </is>
      </c>
      <c r="C111" s="4" t="inlineStr">
        <is>
          <t>In Progress</t>
        </is>
      </c>
      <c r="D111" s="4" t="inlineStr">
        <is>
          <t>Fixed fee</t>
        </is>
      </c>
      <c r="E111" s="4" t="inlineStr">
        <is>
          <t>Coastal Bend</t>
        </is>
      </c>
      <c r="F111" s="4" t="inlineStr">
        <is>
          <t>Steve Rubio</t>
        </is>
      </c>
      <c r="G111" s="5" t="n">
        <v>151900</v>
      </c>
      <c r="H111" s="5" t="n">
        <v>128659.3</v>
      </c>
      <c r="I111" s="5" t="n">
        <v>128659.3</v>
      </c>
      <c r="J111" s="5" t="n">
        <v>105099.61</v>
      </c>
      <c r="K111" s="5" t="n">
        <v>105099.61</v>
      </c>
      <c r="L111" s="5" t="n">
        <v>0</v>
      </c>
      <c r="M111" s="5" t="n">
        <v>89014.21000000001</v>
      </c>
      <c r="N111" s="5" t="n">
        <v>16085.39999999999</v>
      </c>
      <c r="O111" s="5" t="n">
        <v>16085.39999999999</v>
      </c>
      <c r="P111" s="4" t="n"/>
      <c r="Q111" s="6" t="n">
        <v>0.847</v>
      </c>
      <c r="R111" s="6" t="n">
        <v>0.847</v>
      </c>
    </row>
    <row r="112">
      <c r="A112" s="4" t="inlineStr">
        <is>
          <t>23-PC-41802</t>
        </is>
      </c>
      <c r="B112" s="4" t="inlineStr">
        <is>
          <t>Plover Cove Paleontological Monitoring</t>
        </is>
      </c>
      <c r="C112" s="4" t="inlineStr">
        <is>
          <t>In Progress</t>
        </is>
      </c>
      <c r="D112" s="4" t="inlineStr">
        <is>
          <t>Fixed fee</t>
        </is>
      </c>
      <c r="E112" s="4" t="inlineStr">
        <is>
          <t>Built Environment</t>
        </is>
      </c>
      <c r="F112" s="4" t="inlineStr">
        <is>
          <t>Melody Holloway</t>
        </is>
      </c>
      <c r="G112" s="5" t="n">
        <v>102400</v>
      </c>
      <c r="H112" s="5" t="n">
        <v>67051.52</v>
      </c>
      <c r="I112" s="5" t="n">
        <v>67051.52</v>
      </c>
      <c r="J112" s="5" t="n">
        <v>66672.64</v>
      </c>
      <c r="K112" s="5" t="n">
        <v>66672.64</v>
      </c>
      <c r="L112" s="5" t="n">
        <v>0</v>
      </c>
      <c r="M112" s="5" t="n">
        <v>43658.58</v>
      </c>
      <c r="N112" s="5" t="n">
        <v>23014.06</v>
      </c>
      <c r="O112" s="5" t="n">
        <v>23014.06</v>
      </c>
      <c r="P112" s="4" t="n"/>
      <c r="Q112" s="6" t="n">
        <v>0.655</v>
      </c>
      <c r="R112" s="6" t="n">
        <v>0.6548</v>
      </c>
    </row>
    <row r="113">
      <c r="A113" s="4" t="inlineStr">
        <is>
          <t>23-PC-41827</t>
        </is>
      </c>
      <c r="B113" s="4" t="inlineStr">
        <is>
          <t>Task Order 9: Dove Canyon Bridge Replacement Section 106 Consultation</t>
        </is>
      </c>
      <c r="C113" s="4" t="inlineStr">
        <is>
          <t>In Progress</t>
        </is>
      </c>
      <c r="D113" s="4" t="inlineStr">
        <is>
          <t>Fixed fee</t>
        </is>
      </c>
      <c r="E113" s="4" t="inlineStr">
        <is>
          <t>Built Environment</t>
        </is>
      </c>
      <c r="F113" s="4" t="inlineStr">
        <is>
          <t>Rickey Salas</t>
        </is>
      </c>
      <c r="G113" s="5" t="n">
        <v>646100</v>
      </c>
      <c r="H113" s="5" t="n">
        <v>375771.76</v>
      </c>
      <c r="I113" s="5" t="n">
        <v>375771.76</v>
      </c>
      <c r="J113" s="5" t="n">
        <v>414881.21</v>
      </c>
      <c r="K113" s="5" t="n">
        <v>355093.99</v>
      </c>
      <c r="L113" s="5" t="n">
        <v>59787.22</v>
      </c>
      <c r="M113" s="5" t="n">
        <v>241290.96</v>
      </c>
      <c r="N113" s="5" t="n">
        <v>173590.25</v>
      </c>
      <c r="O113" s="5" t="n">
        <v>113803.03</v>
      </c>
      <c r="P113" s="4" t="n"/>
      <c r="Q113" s="6" t="n">
        <v>0.582</v>
      </c>
      <c r="R113" s="6" t="n">
        <v>0.5816</v>
      </c>
    </row>
    <row r="114">
      <c r="A114" s="4" t="inlineStr">
        <is>
          <t>23-PC-41897</t>
        </is>
      </c>
      <c r="B114" s="4" t="inlineStr">
        <is>
          <t>Elk Meadow Fiber Route Archaeological Testing</t>
        </is>
      </c>
      <c r="C114" s="4" t="inlineStr">
        <is>
          <t>In Progress</t>
        </is>
      </c>
      <c r="D114" s="4" t="inlineStr">
        <is>
          <t>Time and material</t>
        </is>
      </c>
      <c r="E114" s="4" t="inlineStr">
        <is>
          <t>Built Environment</t>
        </is>
      </c>
      <c r="F114" s="4" t="inlineStr">
        <is>
          <t>Jesse Maynard</t>
        </is>
      </c>
      <c r="G114" s="5" t="n">
        <v>18800</v>
      </c>
      <c r="H114" s="5" t="n">
        <v>12784</v>
      </c>
      <c r="I114" s="5" t="n">
        <v>12784</v>
      </c>
      <c r="J114" s="5" t="n">
        <v>12705.04</v>
      </c>
      <c r="K114" s="5" t="n">
        <v>12705.04</v>
      </c>
      <c r="L114" s="5" t="n">
        <v>0</v>
      </c>
      <c r="M114" s="5" t="n">
        <v>12736.47</v>
      </c>
      <c r="N114" s="5" t="n">
        <v>-31.42999999999847</v>
      </c>
      <c r="O114" s="5" t="n">
        <v>-31.42999999999847</v>
      </c>
      <c r="P114" s="4" t="n"/>
      <c r="Q114" s="6" t="n">
        <v>0.68</v>
      </c>
      <c r="R114" s="6" t="n">
        <v>1.0025</v>
      </c>
    </row>
    <row r="115">
      <c r="A115" s="4" t="inlineStr">
        <is>
          <t>23-PC-41934</t>
        </is>
      </c>
      <c r="B115" s="4" t="inlineStr">
        <is>
          <t>Sea Oat Bridge Replacement - GIS Mapping</t>
        </is>
      </c>
      <c r="C115" s="4" t="inlineStr">
        <is>
          <t>Final Reporting/Review</t>
        </is>
      </c>
      <c r="D115" s="4" t="inlineStr">
        <is>
          <t>Fixed fee</t>
        </is>
      </c>
      <c r="E115" s="4" t="inlineStr">
        <is>
          <t>Built Environment</t>
        </is>
      </c>
      <c r="F115" s="4" t="inlineStr">
        <is>
          <t>Rickey Salas</t>
        </is>
      </c>
      <c r="G115" s="5" t="n">
        <v>364700</v>
      </c>
      <c r="H115" s="5" t="n">
        <v>208900.16</v>
      </c>
      <c r="I115" s="5" t="n">
        <v>208900.16</v>
      </c>
      <c r="J115" s="5" t="n">
        <v>228812.78</v>
      </c>
      <c r="K115" s="5" t="n">
        <v>228812.78</v>
      </c>
      <c r="L115" s="5" t="n">
        <v>0</v>
      </c>
      <c r="M115" s="5" t="n">
        <v>131064.99</v>
      </c>
      <c r="N115" s="5" t="n">
        <v>97747.78999999999</v>
      </c>
      <c r="O115" s="5" t="n">
        <v>97747.78999999999</v>
      </c>
      <c r="P115" s="4" t="n"/>
      <c r="Q115" s="6" t="n">
        <v>0.573</v>
      </c>
      <c r="R115" s="6" t="n">
        <v>0.5728</v>
      </c>
    </row>
    <row r="116">
      <c r="A116" s="4" t="inlineStr">
        <is>
          <t>23-PC-42154</t>
        </is>
      </c>
      <c r="B116" s="4" t="inlineStr">
        <is>
          <t>Task Order 25: Goldfinch School Campus Section 106 Consultation</t>
        </is>
      </c>
      <c r="C116" s="4" t="inlineStr">
        <is>
          <t>Final Reporting/Review</t>
        </is>
      </c>
      <c r="D116" s="4" t="inlineStr">
        <is>
          <t>Time and material</t>
        </is>
      </c>
      <c r="E116" s="4" t="inlineStr">
        <is>
          <t>Built Environment</t>
        </is>
      </c>
      <c r="F116" s="4" t="inlineStr">
        <is>
          <t>Rickey Salas</t>
        </is>
      </c>
      <c r="G116" s="5" t="n">
        <v>29200</v>
      </c>
      <c r="H116" s="5" t="n">
        <v>19856</v>
      </c>
      <c r="I116" s="5" t="n">
        <v>19856</v>
      </c>
      <c r="J116" s="5" t="n">
        <v>20127.56</v>
      </c>
      <c r="K116" s="5" t="n">
        <v>20127.56</v>
      </c>
      <c r="L116" s="5" t="n">
        <v>0</v>
      </c>
      <c r="M116" s="5" t="n">
        <v>12454.55</v>
      </c>
      <c r="N116" s="5" t="n">
        <v>7673.010000000002</v>
      </c>
      <c r="O116" s="5" t="n">
        <v>7673.010000000002</v>
      </c>
      <c r="P116" s="4" t="n"/>
      <c r="Q116" s="6" t="n">
        <v>0.68</v>
      </c>
      <c r="R116" s="6" t="n">
        <v>0.6188</v>
      </c>
    </row>
    <row r="117">
      <c r="A117" s="4" t="inlineStr">
        <is>
          <t>23-PC-42237</t>
        </is>
      </c>
      <c r="B117" s="4" t="inlineStr">
        <is>
          <t>Foxglove Historic Resources Evaluation</t>
        </is>
      </c>
      <c r="C117" s="4" t="inlineStr">
        <is>
          <t>In Progress</t>
        </is>
      </c>
      <c r="D117" s="4" t="inlineStr">
        <is>
          <t>Time and material</t>
        </is>
      </c>
      <c r="E117" s="4" t="inlineStr">
        <is>
          <t>Paleontology</t>
        </is>
      </c>
      <c r="F117" s="4" t="inlineStr">
        <is>
          <t>Charlene Sparks</t>
        </is>
      </c>
      <c r="G117" s="5" t="n">
        <v>82300</v>
      </c>
      <c r="H117" s="5" t="n">
        <v>55964</v>
      </c>
      <c r="I117" s="5" t="n">
        <v>55964</v>
      </c>
      <c r="J117" s="5" t="n">
        <v>55519.51</v>
      </c>
      <c r="K117" s="5" t="n">
        <v>46719.77</v>
      </c>
      <c r="L117" s="5" t="n">
        <v>8799.74</v>
      </c>
      <c r="M117" s="5" t="n">
        <v>30299.65</v>
      </c>
      <c r="N117" s="5" t="n">
        <v>25219.86</v>
      </c>
      <c r="O117" s="5" t="n">
        <v>16420.12</v>
      </c>
      <c r="P117" s="4" t="n"/>
      <c r="Q117" s="6" t="n">
        <v>0.68</v>
      </c>
      <c r="R117" s="6" t="n">
        <v>0.5457</v>
      </c>
    </row>
    <row r="118">
      <c r="A118" s="4" t="inlineStr">
        <is>
          <t>23-PC-42377</t>
        </is>
      </c>
      <c r="B118" s="4" t="inlineStr">
        <is>
          <t>Sumac Ridge Curation</t>
        </is>
      </c>
      <c r="C118" s="4" t="inlineStr">
        <is>
          <t>In Progress</t>
        </is>
      </c>
      <c r="D118" s="4" t="inlineStr">
        <is>
          <t>Fixed fee</t>
        </is>
      </c>
      <c r="E118" s="4" t="inlineStr">
        <is>
          <t>Paleontology</t>
        </is>
      </c>
      <c r="F118" s="4" t="inlineStr">
        <is>
          <t>Travis Delgado</t>
        </is>
      </c>
      <c r="G118" s="5" t="n">
        <v>68300</v>
      </c>
      <c r="H118" s="5" t="n">
        <v>39088.09</v>
      </c>
      <c r="I118" s="5" t="n">
        <v>39088.09</v>
      </c>
      <c r="J118" s="5" t="n">
        <v>47215.79</v>
      </c>
      <c r="K118" s="5" t="n">
        <v>47215.79</v>
      </c>
      <c r="L118" s="5" t="n">
        <v>0</v>
      </c>
      <c r="M118" s="5" t="n">
        <v>27022.26</v>
      </c>
      <c r="N118" s="5" t="n">
        <v>20193.53</v>
      </c>
      <c r="O118" s="5" t="n">
        <v>20193.53</v>
      </c>
      <c r="P118" s="4" t="n"/>
      <c r="Q118" s="6" t="n">
        <v>0.572</v>
      </c>
      <c r="R118" s="6" t="n">
        <v>0.5723</v>
      </c>
    </row>
    <row r="119">
      <c r="A119" s="4" t="inlineStr">
        <is>
          <t>23-PC-42451</t>
        </is>
      </c>
      <c r="B119" s="4" t="inlineStr">
        <is>
          <t>Phase I: Oak Terrace Cell Tower Data Recovery</t>
        </is>
      </c>
      <c r="C119" s="4" t="inlineStr">
        <is>
          <t>In Progress</t>
        </is>
      </c>
      <c r="D119" s="4" t="inlineStr">
        <is>
          <t>Time and material</t>
        </is>
      </c>
      <c r="E119" s="4" t="inlineStr">
        <is>
          <t>Paleontology</t>
        </is>
      </c>
      <c r="F119" s="4" t="inlineStr">
        <is>
          <t>Travis Delgado</t>
        </is>
      </c>
      <c r="G119" s="5" t="n">
        <v>101800</v>
      </c>
      <c r="H119" s="5" t="n">
        <v>69224</v>
      </c>
      <c r="I119" s="5" t="n">
        <v>69224</v>
      </c>
      <c r="J119" s="5" t="n">
        <v>72208.06</v>
      </c>
      <c r="K119" s="5" t="n">
        <v>64989</v>
      </c>
      <c r="L119" s="5" t="n">
        <v>7219.06</v>
      </c>
      <c r="M119" s="5" t="n">
        <v>49547.32</v>
      </c>
      <c r="N119" s="5" t="n">
        <v>22660.74</v>
      </c>
      <c r="O119" s="5" t="n">
        <v>15441.68</v>
      </c>
      <c r="P119" s="4" t="n"/>
      <c r="Q119" s="6" t="n">
        <v>0.68</v>
      </c>
      <c r="R119" s="6" t="n">
        <v>0.6862</v>
      </c>
    </row>
    <row r="120">
      <c r="A120" s="4" t="inlineStr">
        <is>
          <t>23-PC-42771</t>
        </is>
      </c>
      <c r="B120" s="4" t="inlineStr">
        <is>
          <t>Redbud Housing Development GIS Mapping</t>
        </is>
      </c>
      <c r="C120" s="4" t="inlineStr">
        <is>
          <t>In Progress</t>
        </is>
      </c>
      <c r="D120" s="4" t="inlineStr">
        <is>
          <t>Fixed fee</t>
        </is>
      </c>
      <c r="E120" s="4" t="inlineStr">
        <is>
          <t>Maritime</t>
        </is>
      </c>
      <c r="F120" s="4" t="inlineStr">
        <is>
          <t>Kyle Maynard</t>
        </is>
      </c>
      <c r="G120" s="5" t="n">
        <v>25200</v>
      </c>
      <c r="H120" s="5" t="n">
        <v>19124.28</v>
      </c>
      <c r="I120" s="5" t="n">
        <v>19124.28</v>
      </c>
      <c r="J120" s="5" t="n">
        <v>18799.2</v>
      </c>
      <c r="K120" s="5" t="n">
        <v>18799.2</v>
      </c>
      <c r="L120" s="5" t="n">
        <v>0</v>
      </c>
      <c r="M120" s="5" t="n">
        <v>14265.92</v>
      </c>
      <c r="N120" s="5" t="n">
        <v>4533.280000000001</v>
      </c>
      <c r="O120" s="5" t="n">
        <v>4533.280000000001</v>
      </c>
      <c r="P120" s="4" t="n"/>
      <c r="Q120" s="6" t="n">
        <v>0.759</v>
      </c>
      <c r="R120" s="6" t="n">
        <v>0.7589</v>
      </c>
    </row>
    <row r="121">
      <c r="A121" s="4" t="inlineStr">
        <is>
          <t>23-PC-42907</t>
        </is>
      </c>
      <c r="B121" s="4" t="inlineStr">
        <is>
          <t>Heron Marsh Historic Resources Evaluation</t>
        </is>
      </c>
      <c r="C121" s="4" t="inlineStr">
        <is>
          <t>In Progress</t>
        </is>
      </c>
      <c r="D121" s="4" t="inlineStr">
        <is>
          <t>Fixed fee</t>
        </is>
      </c>
      <c r="E121" s="4" t="inlineStr">
        <is>
          <t>Maritime</t>
        </is>
      </c>
      <c r="F121" s="4" t="inlineStr">
        <is>
          <t>Rita Ayala</t>
        </is>
      </c>
      <c r="G121" s="5" t="n">
        <v>1637200</v>
      </c>
      <c r="H121" s="5" t="n">
        <v>1057303.76</v>
      </c>
      <c r="I121" s="5" t="n">
        <v>1057303.76</v>
      </c>
      <c r="J121" s="5" t="n">
        <v>977458.87</v>
      </c>
      <c r="K121" s="5" t="n">
        <v>712768.92</v>
      </c>
      <c r="L121" s="5" t="n">
        <v>264689.95</v>
      </c>
      <c r="M121" s="5" t="n">
        <v>631212.64</v>
      </c>
      <c r="N121" s="5" t="n">
        <v>346246.23</v>
      </c>
      <c r="O121" s="5" t="n">
        <v>81556.28000000003</v>
      </c>
      <c r="P121" s="4" t="n"/>
      <c r="Q121" s="6" t="n">
        <v>0.646</v>
      </c>
      <c r="R121" s="6" t="n">
        <v>0.6458</v>
      </c>
    </row>
    <row r="122">
      <c r="A122" s="4" t="inlineStr">
        <is>
          <t>23-PC-42981</t>
        </is>
      </c>
      <c r="B122" s="4" t="inlineStr">
        <is>
          <t>Hawk Point Architectural History Survey</t>
        </is>
      </c>
      <c r="C122" s="4" t="inlineStr">
        <is>
          <t>In Progress</t>
        </is>
      </c>
      <c r="D122" s="4" t="inlineStr">
        <is>
          <t>Fixed fee</t>
        </is>
      </c>
      <c r="E122" s="4" t="inlineStr">
        <is>
          <t>Maritime</t>
        </is>
      </c>
      <c r="F122" s="4" t="inlineStr">
        <is>
          <t>Kyle Maynard</t>
        </is>
      </c>
      <c r="G122" s="5" t="n">
        <v>175800</v>
      </c>
      <c r="H122" s="5" t="n">
        <v>133203.66</v>
      </c>
      <c r="I122" s="5" t="n">
        <v>133203.66</v>
      </c>
      <c r="J122" s="5" t="n">
        <v>129494.28</v>
      </c>
      <c r="K122" s="5" t="n">
        <v>129494.28</v>
      </c>
      <c r="L122" s="5" t="n">
        <v>0</v>
      </c>
      <c r="M122" s="5" t="n">
        <v>98123.53999999999</v>
      </c>
      <c r="N122" s="5" t="n">
        <v>31370.74000000001</v>
      </c>
      <c r="O122" s="5" t="n">
        <v>31370.74000000001</v>
      </c>
      <c r="P122" s="4" t="n"/>
      <c r="Q122" s="6" t="n">
        <v>0.758</v>
      </c>
      <c r="R122" s="6" t="n">
        <v>0.7577</v>
      </c>
    </row>
    <row r="123">
      <c r="A123" s="4" t="inlineStr">
        <is>
          <t>23-PC-43008</t>
        </is>
      </c>
      <c r="B123" s="4" t="inlineStr">
        <is>
          <t>Sea Oat Mixed-Use Development - Cultural Resources Monitoring</t>
        </is>
      </c>
      <c r="C123" s="4" t="inlineStr">
        <is>
          <t>In Progress</t>
        </is>
      </c>
      <c r="D123" s="4" t="inlineStr">
        <is>
          <t>Time and material</t>
        </is>
      </c>
      <c r="E123" s="4" t="inlineStr">
        <is>
          <t>Maritime</t>
        </is>
      </c>
      <c r="F123" s="4" t="inlineStr">
        <is>
          <t>Rita Ayala</t>
        </is>
      </c>
      <c r="G123" s="5" t="n">
        <v>139700</v>
      </c>
      <c r="H123" s="5" t="n">
        <v>94996</v>
      </c>
      <c r="I123" s="5" t="n">
        <v>94996</v>
      </c>
      <c r="J123" s="5" t="n">
        <v>93543.12</v>
      </c>
      <c r="K123" s="5" t="n">
        <v>93543.12</v>
      </c>
      <c r="L123" s="5" t="n">
        <v>0</v>
      </c>
      <c r="M123" s="5" t="n">
        <v>67047.92999999999</v>
      </c>
      <c r="N123" s="5" t="n">
        <v>26495.19</v>
      </c>
      <c r="O123" s="5" t="n">
        <v>26495.19</v>
      </c>
      <c r="P123" s="4" t="n"/>
      <c r="Q123" s="6" t="n">
        <v>0.68</v>
      </c>
      <c r="R123" s="6" t="n">
        <v>0.7168</v>
      </c>
    </row>
    <row r="124">
      <c r="A124" s="4" t="inlineStr">
        <is>
          <t>23-PC-43158</t>
        </is>
      </c>
      <c r="B124" s="4" t="inlineStr">
        <is>
          <t>Twin Buttes Wind Farm - Archaeological Testing</t>
        </is>
      </c>
      <c r="C124" s="4" t="inlineStr">
        <is>
          <t>In Progress</t>
        </is>
      </c>
      <c r="D124" s="4" t="inlineStr">
        <is>
          <t>Fixed fee</t>
        </is>
      </c>
      <c r="E124" s="4" t="inlineStr">
        <is>
          <t>Geospatial</t>
        </is>
      </c>
      <c r="F124" s="4" t="inlineStr">
        <is>
          <t>Priscilla Pennington</t>
        </is>
      </c>
      <c r="G124" s="5" t="n">
        <v>73300</v>
      </c>
      <c r="H124" s="5" t="n">
        <v>66563.73</v>
      </c>
      <c r="I124" s="5" t="n">
        <v>66563.73</v>
      </c>
      <c r="J124" s="5" t="n">
        <v>53362.4</v>
      </c>
      <c r="K124" s="5" t="n">
        <v>53362.4</v>
      </c>
      <c r="L124" s="5" t="n">
        <v>0</v>
      </c>
      <c r="M124" s="5" t="n">
        <v>48458.95</v>
      </c>
      <c r="N124" s="5" t="n">
        <v>4903.450000000004</v>
      </c>
      <c r="O124" s="5" t="n">
        <v>4903.450000000004</v>
      </c>
      <c r="P124" s="4" t="n"/>
      <c r="Q124" s="6" t="n">
        <v>0.908</v>
      </c>
      <c r="R124" s="6" t="n">
        <v>0.9081</v>
      </c>
    </row>
    <row r="125">
      <c r="A125" s="4" t="inlineStr">
        <is>
          <t>23-PC-43209</t>
        </is>
      </c>
      <c r="B125" s="4" t="inlineStr">
        <is>
          <t>Sea Oat Harbor Dredging Curation</t>
        </is>
      </c>
      <c r="C125" s="4" t="inlineStr">
        <is>
          <t>In Progress</t>
        </is>
      </c>
      <c r="D125" s="4" t="inlineStr">
        <is>
          <t>Fixed fee</t>
        </is>
      </c>
      <c r="E125" s="4" t="inlineStr">
        <is>
          <t>Meridian</t>
        </is>
      </c>
      <c r="F125" s="4" t="inlineStr">
        <is>
          <t>Seth Zavala</t>
        </is>
      </c>
      <c r="G125" s="5" t="n">
        <v>247500</v>
      </c>
      <c r="H125" s="5" t="n">
        <v>137090.25</v>
      </c>
      <c r="I125" s="5" t="n">
        <v>137090.25</v>
      </c>
      <c r="J125" s="5" t="n">
        <v>178398</v>
      </c>
      <c r="K125" s="5" t="n">
        <v>178398</v>
      </c>
      <c r="L125" s="5" t="n">
        <v>0</v>
      </c>
      <c r="M125" s="5" t="n">
        <v>98806.53999999999</v>
      </c>
      <c r="N125" s="5" t="n">
        <v>79591.46000000001</v>
      </c>
      <c r="O125" s="5" t="n">
        <v>79591.46000000001</v>
      </c>
      <c r="P125" s="4" t="n"/>
      <c r="Q125" s="6" t="n">
        <v>0.554</v>
      </c>
      <c r="R125" s="6" t="n">
        <v>0.5538999999999999</v>
      </c>
    </row>
    <row r="126">
      <c r="A126" s="4" t="inlineStr">
        <is>
          <t>23-PC-43238</t>
        </is>
      </c>
      <c r="B126" s="4" t="inlineStr">
        <is>
          <t>Thistle Down Fiber Route - Data Recovery</t>
        </is>
      </c>
      <c r="C126" s="4" t="inlineStr">
        <is>
          <t>In Progress</t>
        </is>
      </c>
      <c r="D126" s="4" t="inlineStr">
        <is>
          <t>Fixed fee</t>
        </is>
      </c>
      <c r="E126" s="4" t="inlineStr">
        <is>
          <t>Meridian</t>
        </is>
      </c>
      <c r="F126" s="4" t="inlineStr">
        <is>
          <t>Clinton Solis</t>
        </is>
      </c>
      <c r="G126" s="5" t="n">
        <v>454300</v>
      </c>
      <c r="H126" s="5" t="n">
        <v>283028.9</v>
      </c>
      <c r="I126" s="5" t="n">
        <v>283028.9</v>
      </c>
      <c r="J126" s="5" t="n">
        <v>287491.13</v>
      </c>
      <c r="K126" s="5" t="n">
        <v>227977.2</v>
      </c>
      <c r="L126" s="5" t="n">
        <v>59513.93</v>
      </c>
      <c r="M126" s="5" t="n">
        <v>179098.38</v>
      </c>
      <c r="N126" s="5" t="n">
        <v>108392.75</v>
      </c>
      <c r="O126" s="5" t="n">
        <v>48878.82000000001</v>
      </c>
      <c r="P126" s="4" t="n"/>
      <c r="Q126" s="6" t="n">
        <v>0.623</v>
      </c>
      <c r="R126" s="6" t="n">
        <v>0.623</v>
      </c>
    </row>
    <row r="127">
      <c r="A127" s="4" t="inlineStr">
        <is>
          <t>23-PC-43408</t>
        </is>
      </c>
      <c r="B127" s="4" t="inlineStr">
        <is>
          <t>Wildrye Solar - Built Environment Survey</t>
        </is>
      </c>
      <c r="C127" s="4" t="inlineStr">
        <is>
          <t>In Progress</t>
        </is>
      </c>
      <c r="D127" s="4" t="inlineStr">
        <is>
          <t>Time and material</t>
        </is>
      </c>
      <c r="E127" s="4" t="inlineStr">
        <is>
          <t>Meridian</t>
        </is>
      </c>
      <c r="F127" s="4" t="inlineStr">
        <is>
          <t>Mathew Shea</t>
        </is>
      </c>
      <c r="G127" s="5" t="n">
        <v>176300</v>
      </c>
      <c r="H127" s="5" t="n">
        <v>119884</v>
      </c>
      <c r="I127" s="5" t="n">
        <v>119884</v>
      </c>
      <c r="J127" s="5" t="n">
        <v>121964.34</v>
      </c>
      <c r="K127" s="5" t="n">
        <v>121964.34</v>
      </c>
      <c r="L127" s="5" t="n">
        <v>0</v>
      </c>
      <c r="M127" s="5" t="n">
        <v>65842.99000000001</v>
      </c>
      <c r="N127" s="5" t="n">
        <v>56121.34999999999</v>
      </c>
      <c r="O127" s="5" t="n">
        <v>56121.34999999999</v>
      </c>
      <c r="P127" s="4" t="n"/>
      <c r="Q127" s="6" t="n">
        <v>0.68</v>
      </c>
      <c r="R127" s="6" t="n">
        <v>0.5399</v>
      </c>
    </row>
    <row r="128">
      <c r="A128" s="4" t="inlineStr">
        <is>
          <t>23-PC-43612</t>
        </is>
      </c>
      <c r="B128" s="4" t="inlineStr">
        <is>
          <t>Maple Fork Wind Farm Class III Survey</t>
        </is>
      </c>
      <c r="C128" s="4" t="inlineStr">
        <is>
          <t>In Progress</t>
        </is>
      </c>
      <c r="D128" s="4" t="inlineStr">
        <is>
          <t>Time and material</t>
        </is>
      </c>
      <c r="E128" s="4" t="inlineStr">
        <is>
          <t>Meridian</t>
        </is>
      </c>
      <c r="F128" s="4" t="inlineStr">
        <is>
          <t>Seth Zavala</t>
        </is>
      </c>
      <c r="G128" s="5" t="n">
        <v>201800</v>
      </c>
      <c r="H128" s="5" t="n">
        <v>137224</v>
      </c>
      <c r="I128" s="5" t="n">
        <v>137224</v>
      </c>
      <c r="J128" s="5" t="n">
        <v>135120.77</v>
      </c>
      <c r="K128" s="5" t="n">
        <v>112489.92</v>
      </c>
      <c r="L128" s="5" t="n">
        <v>22630.85</v>
      </c>
      <c r="M128" s="5" t="n">
        <v>73233.08</v>
      </c>
      <c r="N128" s="5" t="n">
        <v>61887.68999999999</v>
      </c>
      <c r="O128" s="5" t="n">
        <v>39256.84</v>
      </c>
      <c r="P128" s="4" t="n"/>
      <c r="Q128" s="6" t="n">
        <v>0.68</v>
      </c>
      <c r="R128" s="6" t="n">
        <v>0.542</v>
      </c>
    </row>
    <row r="129">
      <c r="A129" s="4" t="inlineStr">
        <is>
          <t>23-PC-43692</t>
        </is>
      </c>
      <c r="B129" s="4" t="inlineStr">
        <is>
          <t>Riverbend Levee Repair - Cultural Resources Monitoring</t>
        </is>
      </c>
      <c r="C129" s="4" t="inlineStr">
        <is>
          <t>In Progress</t>
        </is>
      </c>
      <c r="D129" s="4" t="inlineStr">
        <is>
          <t>Fixed fee</t>
        </is>
      </c>
      <c r="E129" s="4" t="inlineStr">
        <is>
          <t>Meridian Southwest</t>
        </is>
      </c>
      <c r="F129" s="4" t="inlineStr">
        <is>
          <t>Lynn Tran</t>
        </is>
      </c>
      <c r="G129" s="5" t="n">
        <v>112600</v>
      </c>
      <c r="H129" s="5" t="n">
        <v>91374.89999999999</v>
      </c>
      <c r="I129" s="5" t="n">
        <v>91374.89999999999</v>
      </c>
      <c r="J129" s="5" t="n">
        <v>77637.7</v>
      </c>
      <c r="K129" s="5" t="n">
        <v>77637.7</v>
      </c>
      <c r="L129" s="5" t="n">
        <v>0</v>
      </c>
      <c r="M129" s="5" t="n">
        <v>63002.79</v>
      </c>
      <c r="N129" s="5" t="n">
        <v>14634.91</v>
      </c>
      <c r="O129" s="5" t="n">
        <v>14634.91</v>
      </c>
      <c r="P129" s="4" t="n"/>
      <c r="Q129" s="6" t="n">
        <v>0.8110000000000001</v>
      </c>
      <c r="R129" s="6" t="n">
        <v>0.8115</v>
      </c>
    </row>
    <row r="130">
      <c r="A130" s="4" t="inlineStr">
        <is>
          <t>23-PC-43829</t>
        </is>
      </c>
      <c r="B130" s="4" t="inlineStr">
        <is>
          <t>Task Order 34: Ember Valley Wastewater Plant Architectural History Survey</t>
        </is>
      </c>
      <c r="C130" s="4" t="inlineStr">
        <is>
          <t>In Progress</t>
        </is>
      </c>
      <c r="D130" s="4" t="inlineStr">
        <is>
          <t>Fixed fee</t>
        </is>
      </c>
      <c r="E130" s="4" t="inlineStr">
        <is>
          <t>Meridian Southwest</t>
        </is>
      </c>
      <c r="F130" s="4" t="inlineStr">
        <is>
          <t>Harold Chaney</t>
        </is>
      </c>
      <c r="G130" s="5" t="n">
        <v>166500</v>
      </c>
      <c r="H130" s="5" t="n">
        <v>100016.55</v>
      </c>
      <c r="I130" s="5" t="n">
        <v>100016.55</v>
      </c>
      <c r="J130" s="5" t="n">
        <v>125557.65</v>
      </c>
      <c r="K130" s="5" t="n">
        <v>125557.65</v>
      </c>
      <c r="L130" s="5" t="n">
        <v>0</v>
      </c>
      <c r="M130" s="5" t="n">
        <v>75422.97</v>
      </c>
      <c r="N130" s="5" t="n">
        <v>50134.67999999999</v>
      </c>
      <c r="O130" s="5" t="n">
        <v>50134.67999999999</v>
      </c>
      <c r="P130" s="4" t="n"/>
      <c r="Q130" s="6" t="n">
        <v>0.601</v>
      </c>
      <c r="R130" s="6" t="n">
        <v>0.6007</v>
      </c>
    </row>
    <row r="131">
      <c r="A131" s="4" t="inlineStr">
        <is>
          <t>24-PC-30233</t>
        </is>
      </c>
      <c r="B131" s="4" t="inlineStr">
        <is>
          <t>Bramble Creek Mine Expansion Phase I Survey</t>
        </is>
      </c>
      <c r="C131" s="4" t="inlineStr">
        <is>
          <t>In Progress</t>
        </is>
      </c>
      <c r="D131" s="4" t="inlineStr">
        <is>
          <t>Fixed fee</t>
        </is>
      </c>
      <c r="E131" s="4" t="inlineStr">
        <is>
          <t>Big Sky</t>
        </is>
      </c>
      <c r="F131" s="4" t="inlineStr">
        <is>
          <t>Javier Estrada</t>
        </is>
      </c>
      <c r="G131" s="5" t="n">
        <v>93300</v>
      </c>
      <c r="H131" s="5" t="n">
        <v>93300</v>
      </c>
      <c r="I131" s="5" t="n">
        <v>90265.16</v>
      </c>
      <c r="J131" s="5" t="n">
        <v>59544.06</v>
      </c>
      <c r="K131" s="5" t="n">
        <v>59544.06</v>
      </c>
      <c r="L131" s="5" t="n">
        <v>0</v>
      </c>
      <c r="M131" s="5" t="n">
        <v>93708.96000000001</v>
      </c>
      <c r="N131" s="5" t="n">
        <v>-34164.90000000001</v>
      </c>
      <c r="O131" s="5" t="n">
        <v>-34164.90000000001</v>
      </c>
      <c r="P131" s="4" t="n"/>
      <c r="Q131" s="6" t="n">
        <v>1</v>
      </c>
      <c r="R131" s="6" t="n">
        <v>1.5738</v>
      </c>
    </row>
    <row r="132">
      <c r="A132" s="4" t="inlineStr">
        <is>
          <t>24-PC-30448</t>
        </is>
      </c>
      <c r="B132" s="4" t="inlineStr">
        <is>
          <t>Maple Fork Substation - Data Recovery</t>
        </is>
      </c>
      <c r="C132" s="4" t="inlineStr">
        <is>
          <t>In Progress</t>
        </is>
      </c>
      <c r="D132" s="4" t="inlineStr">
        <is>
          <t>Fixed fee</t>
        </is>
      </c>
      <c r="E132" s="4" t="inlineStr">
        <is>
          <t>Big Sky</t>
        </is>
      </c>
      <c r="F132" s="4" t="inlineStr">
        <is>
          <t>Bob Frye</t>
        </is>
      </c>
      <c r="G132" s="5" t="n">
        <v>142600</v>
      </c>
      <c r="H132" s="5" t="n">
        <v>97709.52</v>
      </c>
      <c r="I132" s="5" t="n">
        <v>97709.52</v>
      </c>
      <c r="J132" s="5" t="n">
        <v>105894.76</v>
      </c>
      <c r="K132" s="5" t="n">
        <v>105894.76</v>
      </c>
      <c r="L132" s="5" t="n">
        <v>0</v>
      </c>
      <c r="M132" s="5" t="n">
        <v>72554.14</v>
      </c>
      <c r="N132" s="5" t="n">
        <v>33340.62</v>
      </c>
      <c r="O132" s="5" t="n">
        <v>33340.62</v>
      </c>
      <c r="P132" s="4" t="n"/>
      <c r="Q132" s="6" t="n">
        <v>0.6850000000000001</v>
      </c>
      <c r="R132" s="6" t="n">
        <v>0.6852</v>
      </c>
    </row>
    <row r="133">
      <c r="A133" s="4" t="inlineStr">
        <is>
          <t>24-PC-30509</t>
        </is>
      </c>
      <c r="B133" s="4" t="inlineStr">
        <is>
          <t>On-Call: Yarrow Point Mine Expansion Cultural Resources Monitoring</t>
        </is>
      </c>
      <c r="C133" s="4" t="inlineStr">
        <is>
          <t>Lab/Curation</t>
        </is>
      </c>
      <c r="D133" s="4" t="inlineStr">
        <is>
          <t>Fixed fee</t>
        </is>
      </c>
      <c r="E133" s="4" t="inlineStr">
        <is>
          <t>Big Sky</t>
        </is>
      </c>
      <c r="F133" s="4" t="inlineStr">
        <is>
          <t>Javier Estrada</t>
        </is>
      </c>
      <c r="G133" s="5" t="n">
        <v>682700</v>
      </c>
      <c r="H133" s="5" t="n">
        <v>417402.78</v>
      </c>
      <c r="I133" s="5" t="n">
        <v>417402.78</v>
      </c>
      <c r="J133" s="5" t="n">
        <v>517281.79</v>
      </c>
      <c r="K133" s="5" t="n">
        <v>517281.79</v>
      </c>
      <c r="L133" s="5" t="n">
        <v>0</v>
      </c>
      <c r="M133" s="5" t="n">
        <v>316284.4</v>
      </c>
      <c r="N133" s="5" t="n">
        <v>200997.39</v>
      </c>
      <c r="O133" s="5" t="n">
        <v>200997.39</v>
      </c>
      <c r="P133" s="4" t="n"/>
      <c r="Q133" s="6" t="n">
        <v>0.611</v>
      </c>
      <c r="R133" s="6" t="n">
        <v>0.6114000000000001</v>
      </c>
    </row>
    <row r="134">
      <c r="A134" s="4" t="inlineStr">
        <is>
          <t>24-PC-30620</t>
        </is>
      </c>
      <c r="B134" s="4" t="inlineStr">
        <is>
          <t>Task Order 31: Sumac Ridge Trail GIS Mapping</t>
        </is>
      </c>
      <c r="C134" s="4" t="inlineStr">
        <is>
          <t>Lab/Curation</t>
        </is>
      </c>
      <c r="D134" s="4" t="inlineStr">
        <is>
          <t>Fixed fee</t>
        </is>
      </c>
      <c r="E134" s="4" t="inlineStr">
        <is>
          <t>Bluegrass</t>
        </is>
      </c>
      <c r="F134" s="4" t="inlineStr">
        <is>
          <t>Kiara Gillespie</t>
        </is>
      </c>
      <c r="G134" s="5" t="n">
        <v>104400</v>
      </c>
      <c r="H134" s="5" t="n">
        <v>88729.56</v>
      </c>
      <c r="I134" s="5" t="n">
        <v>88729.56</v>
      </c>
      <c r="J134" s="5" t="n">
        <v>78268.67999999999</v>
      </c>
      <c r="K134" s="5" t="n">
        <v>78268.67999999999</v>
      </c>
      <c r="L134" s="5" t="n">
        <v>0</v>
      </c>
      <c r="M134" s="5" t="n">
        <v>66519.64999999999</v>
      </c>
      <c r="N134" s="5" t="n">
        <v>11749.03</v>
      </c>
      <c r="O134" s="5" t="n">
        <v>11749.03</v>
      </c>
      <c r="P134" s="4" t="n"/>
      <c r="Q134" s="6" t="n">
        <v>0.85</v>
      </c>
      <c r="R134" s="6" t="n">
        <v>0.8499</v>
      </c>
    </row>
    <row r="135">
      <c r="A135" s="4" t="inlineStr">
        <is>
          <t>24-PC-30679</t>
        </is>
      </c>
      <c r="B135" s="4" t="inlineStr">
        <is>
          <t>Kestrel Butte Maritime Remote Sensing Survey</t>
        </is>
      </c>
      <c r="C135" s="4" t="inlineStr">
        <is>
          <t>In Progress</t>
        </is>
      </c>
      <c r="D135" s="4" t="inlineStr">
        <is>
          <t>Fixed fee</t>
        </is>
      </c>
      <c r="E135" s="4" t="inlineStr">
        <is>
          <t>Bluegrass</t>
        </is>
      </c>
      <c r="F135" s="4" t="inlineStr">
        <is>
          <t>Kiara Gillespie</t>
        </is>
      </c>
      <c r="G135" s="5" t="n">
        <v>60600</v>
      </c>
      <c r="H135" s="5" t="n">
        <v>60600</v>
      </c>
      <c r="I135" s="5" t="n">
        <v>60600</v>
      </c>
      <c r="J135" s="5" t="n">
        <v>45577.26</v>
      </c>
      <c r="K135" s="5" t="n">
        <v>45577.26</v>
      </c>
      <c r="L135" s="5" t="n">
        <v>0</v>
      </c>
      <c r="M135" s="5" t="n">
        <v>50596.88</v>
      </c>
      <c r="N135" s="5" t="n">
        <v>-5019.619999999995</v>
      </c>
      <c r="O135" s="5" t="n">
        <v>-5019.619999999995</v>
      </c>
      <c r="P135" s="4" t="n"/>
      <c r="Q135" s="6" t="n">
        <v>1</v>
      </c>
      <c r="R135" s="6" t="n">
        <v>1.1101</v>
      </c>
    </row>
    <row r="136">
      <c r="A136" s="4" t="inlineStr">
        <is>
          <t>24-PC-30751</t>
        </is>
      </c>
      <c r="B136" s="4" t="inlineStr">
        <is>
          <t>Windmill Flat Section 106 Consultation</t>
        </is>
      </c>
      <c r="C136" s="4" t="inlineStr">
        <is>
          <t>In Progress</t>
        </is>
      </c>
      <c r="D136" s="4" t="inlineStr">
        <is>
          <t>Fixed fee</t>
        </is>
      </c>
      <c r="E136" s="4" t="inlineStr">
        <is>
          <t>Bluegrass</t>
        </is>
      </c>
      <c r="F136" s="4" t="inlineStr">
        <is>
          <t>Kiara Gillespie</t>
        </is>
      </c>
      <c r="G136" s="5" t="n">
        <v>90800</v>
      </c>
      <c r="H136" s="5" t="n">
        <v>63314.84</v>
      </c>
      <c r="I136" s="5" t="n">
        <v>63314.84</v>
      </c>
      <c r="J136" s="5" t="n">
        <v>72034.09</v>
      </c>
      <c r="K136" s="5" t="n">
        <v>57699.75</v>
      </c>
      <c r="L136" s="5" t="n">
        <v>14334.34</v>
      </c>
      <c r="M136" s="5" t="n">
        <v>50229.44</v>
      </c>
      <c r="N136" s="5" t="n">
        <v>21804.64999999999</v>
      </c>
      <c r="O136" s="5" t="n">
        <v>7470.309999999998</v>
      </c>
      <c r="P136" s="4" t="n"/>
      <c r="Q136" s="6" t="n">
        <v>0.697</v>
      </c>
      <c r="R136" s="6" t="n">
        <v>0.6973</v>
      </c>
    </row>
    <row r="137">
      <c r="A137" s="4" t="inlineStr">
        <is>
          <t>24-PC-30850</t>
        </is>
      </c>
      <c r="B137" s="4" t="inlineStr">
        <is>
          <t>Tamarack Transmission Line - Data Recovery</t>
        </is>
      </c>
      <c r="C137" s="4" t="inlineStr">
        <is>
          <t>Final Reporting/Review</t>
        </is>
      </c>
      <c r="D137" s="4" t="inlineStr">
        <is>
          <t>Time and material</t>
        </is>
      </c>
      <c r="E137" s="4" t="inlineStr">
        <is>
          <t>Bluegrass</t>
        </is>
      </c>
      <c r="F137" s="4" t="inlineStr">
        <is>
          <t>Alice Galloway</t>
        </is>
      </c>
      <c r="G137" s="5" t="n">
        <v>991800</v>
      </c>
      <c r="H137" s="5" t="n">
        <v>674424</v>
      </c>
      <c r="I137" s="5" t="n">
        <v>674424</v>
      </c>
      <c r="J137" s="5" t="n">
        <v>689995.26</v>
      </c>
      <c r="K137" s="5" t="n">
        <v>689995.26</v>
      </c>
      <c r="L137" s="5" t="n">
        <v>0</v>
      </c>
      <c r="M137" s="5" t="n">
        <v>423701.35</v>
      </c>
      <c r="N137" s="5" t="n">
        <v>266293.91</v>
      </c>
      <c r="O137" s="5" t="n">
        <v>266293.91</v>
      </c>
      <c r="P137" s="4" t="n"/>
      <c r="Q137" s="6" t="n">
        <v>0.68</v>
      </c>
      <c r="R137" s="6" t="n">
        <v>0.6141</v>
      </c>
    </row>
    <row r="138">
      <c r="A138" s="4" t="inlineStr">
        <is>
          <t>24-PC-31282</t>
        </is>
      </c>
      <c r="B138" s="4" t="inlineStr">
        <is>
          <t>Phase III: Timber Gap Mixed-Use Development GIS Mapping</t>
        </is>
      </c>
      <c r="C138" s="4" t="inlineStr">
        <is>
          <t>Cost Tracking on Closed Project</t>
        </is>
      </c>
      <c r="D138" s="4" t="inlineStr">
        <is>
          <t>Time and material</t>
        </is>
      </c>
      <c r="E138" s="4" t="inlineStr">
        <is>
          <t>Cascade</t>
        </is>
      </c>
      <c r="F138" s="4" t="inlineStr">
        <is>
          <t>Preston Duarte</t>
        </is>
      </c>
      <c r="G138" s="5" t="n">
        <v>94000</v>
      </c>
      <c r="H138" s="5" t="n">
        <v>63920</v>
      </c>
      <c r="I138" s="5" t="n">
        <v>63920</v>
      </c>
      <c r="J138" s="5" t="n">
        <v>65640.2</v>
      </c>
      <c r="K138" s="5" t="n">
        <v>65640.2</v>
      </c>
      <c r="L138" s="5" t="n">
        <v>0</v>
      </c>
      <c r="M138" s="5" t="n">
        <v>73270.02</v>
      </c>
      <c r="N138" s="5" t="n">
        <v>-7629.820000000007</v>
      </c>
      <c r="O138" s="5" t="n">
        <v>-7629.820000000007</v>
      </c>
      <c r="P138" s="4" t="n"/>
      <c r="Q138" s="6" t="n">
        <v>0.68</v>
      </c>
      <c r="R138" s="6" t="n">
        <v>1.1162</v>
      </c>
    </row>
    <row r="139">
      <c r="A139" s="4" t="inlineStr">
        <is>
          <t>24-PC-31358</t>
        </is>
      </c>
      <c r="B139" s="4" t="inlineStr">
        <is>
          <t>Dove Canyon Archaeological Testing</t>
        </is>
      </c>
      <c r="C139" s="4" t="inlineStr">
        <is>
          <t>Final Reporting/Review</t>
        </is>
      </c>
      <c r="D139" s="4" t="inlineStr">
        <is>
          <t>Fixed fee</t>
        </is>
      </c>
      <c r="E139" s="4" t="inlineStr">
        <is>
          <t>Cascade</t>
        </is>
      </c>
      <c r="F139" s="4" t="inlineStr">
        <is>
          <t>Donald Lutz</t>
        </is>
      </c>
      <c r="G139" s="5" t="n">
        <v>595100</v>
      </c>
      <c r="H139" s="5" t="n">
        <v>572605.22</v>
      </c>
      <c r="I139" s="5" t="n">
        <v>572605.22</v>
      </c>
      <c r="J139" s="5" t="n">
        <v>484590.9</v>
      </c>
      <c r="K139" s="5" t="n">
        <v>358002.83</v>
      </c>
      <c r="L139" s="5" t="n">
        <v>126588.07</v>
      </c>
      <c r="M139" s="5" t="n">
        <v>466249.95</v>
      </c>
      <c r="N139" s="5" t="n">
        <v>18340.95000000001</v>
      </c>
      <c r="O139" s="5" t="n">
        <v>-108247.12</v>
      </c>
      <c r="P139" s="4" t="n"/>
      <c r="Q139" s="6" t="n">
        <v>0.962</v>
      </c>
      <c r="R139" s="6" t="n">
        <v>0.9622000000000001</v>
      </c>
    </row>
    <row r="140">
      <c r="A140" s="4" t="inlineStr">
        <is>
          <t>24-PC-31434</t>
        </is>
      </c>
      <c r="B140" s="4" t="inlineStr">
        <is>
          <t>Pebble Beach Road Cultural Resources Assessment</t>
        </is>
      </c>
      <c r="C140" s="4" t="inlineStr">
        <is>
          <t>In Progress</t>
        </is>
      </c>
      <c r="D140" s="4" t="inlineStr">
        <is>
          <t>Fixed fee</t>
        </is>
      </c>
      <c r="E140" s="4" t="inlineStr">
        <is>
          <t>Cascade</t>
        </is>
      </c>
      <c r="F140" s="4" t="inlineStr">
        <is>
          <t>Jean Cooke</t>
        </is>
      </c>
      <c r="G140" s="5" t="n">
        <v>18200</v>
      </c>
      <c r="H140" s="5" t="n">
        <v>13335.14</v>
      </c>
      <c r="I140" s="5" t="n">
        <v>13335.14</v>
      </c>
      <c r="J140" s="5" t="n">
        <v>12417.86</v>
      </c>
      <c r="K140" s="5" t="n">
        <v>12417.86</v>
      </c>
      <c r="L140" s="5" t="n">
        <v>0</v>
      </c>
      <c r="M140" s="5" t="n">
        <v>9098.08</v>
      </c>
      <c r="N140" s="5" t="n">
        <v>3319.780000000001</v>
      </c>
      <c r="O140" s="5" t="n">
        <v>3319.780000000001</v>
      </c>
      <c r="P140" s="4" t="n"/>
      <c r="Q140" s="6" t="n">
        <v>0.733</v>
      </c>
      <c r="R140" s="6" t="n">
        <v>0.7327</v>
      </c>
    </row>
    <row r="141">
      <c r="A141" s="4" t="inlineStr">
        <is>
          <t>24-PC-31453</t>
        </is>
      </c>
      <c r="B141" s="4" t="inlineStr">
        <is>
          <t>Timber Gap Cell Tower Paleontological Monitoring</t>
        </is>
      </c>
      <c r="C141" s="4" t="inlineStr">
        <is>
          <t>In Progress</t>
        </is>
      </c>
      <c r="D141" s="4" t="inlineStr">
        <is>
          <t>Time and material</t>
        </is>
      </c>
      <c r="E141" s="4" t="inlineStr">
        <is>
          <t>Cascade</t>
        </is>
      </c>
      <c r="F141" s="4" t="inlineStr">
        <is>
          <t>Gene Nixon</t>
        </is>
      </c>
      <c r="G141" s="5" t="n">
        <v>18300</v>
      </c>
      <c r="H141" s="5" t="n">
        <v>12444</v>
      </c>
      <c r="I141" s="5" t="n">
        <v>12444</v>
      </c>
      <c r="J141" s="5" t="n">
        <v>11931.6</v>
      </c>
      <c r="K141" s="5" t="n">
        <v>11931.6</v>
      </c>
      <c r="L141" s="5" t="n">
        <v>0</v>
      </c>
      <c r="M141" s="5" t="n">
        <v>9112.040000000001</v>
      </c>
      <c r="N141" s="5" t="n">
        <v>2819.559999999999</v>
      </c>
      <c r="O141" s="5" t="n">
        <v>2819.559999999999</v>
      </c>
      <c r="P141" s="4" t="n"/>
      <c r="Q141" s="6" t="n">
        <v>0.68</v>
      </c>
      <c r="R141" s="6" t="n">
        <v>0.7637</v>
      </c>
    </row>
    <row r="142">
      <c r="A142" s="4" t="inlineStr">
        <is>
          <t>24-PC-31503</t>
        </is>
      </c>
      <c r="B142" s="4" t="inlineStr">
        <is>
          <t>North Fork Wind Farm Curation</t>
        </is>
      </c>
      <c r="C142" s="4" t="inlineStr">
        <is>
          <t>Lab/Curation</t>
        </is>
      </c>
      <c r="D142" s="4" t="inlineStr">
        <is>
          <t>Time and material</t>
        </is>
      </c>
      <c r="E142" s="4" t="inlineStr">
        <is>
          <t>Cascade</t>
        </is>
      </c>
      <c r="F142" s="4" t="inlineStr">
        <is>
          <t>Preston Duarte</t>
        </is>
      </c>
      <c r="G142" s="5" t="n">
        <v>129900</v>
      </c>
      <c r="H142" s="5" t="n">
        <v>88332</v>
      </c>
      <c r="I142" s="5" t="n">
        <v>88332</v>
      </c>
      <c r="J142" s="5" t="n">
        <v>87825.39</v>
      </c>
      <c r="K142" s="5" t="n">
        <v>87825.39</v>
      </c>
      <c r="L142" s="5" t="n">
        <v>0</v>
      </c>
      <c r="M142" s="5" t="n">
        <v>98773.25999999999</v>
      </c>
      <c r="N142" s="5" t="n">
        <v>-10947.87</v>
      </c>
      <c r="O142" s="5" t="n">
        <v>-10947.87</v>
      </c>
      <c r="P142" s="4" t="n"/>
      <c r="Q142" s="6" t="n">
        <v>0.68</v>
      </c>
      <c r="R142" s="6" t="n">
        <v>1.1247</v>
      </c>
    </row>
    <row r="143">
      <c r="A143" s="4" t="inlineStr">
        <is>
          <t>24-PC-31663</t>
        </is>
      </c>
      <c r="B143" s="4" t="inlineStr">
        <is>
          <t>Fern Valley Section 106 Consultation</t>
        </is>
      </c>
      <c r="C143" s="4" t="inlineStr">
        <is>
          <t>In Progress</t>
        </is>
      </c>
      <c r="D143" s="4" t="inlineStr">
        <is>
          <t>Fixed fee</t>
        </is>
      </c>
      <c r="E143" s="4" t="inlineStr">
        <is>
          <t>Cascade</t>
        </is>
      </c>
      <c r="F143" s="4" t="inlineStr">
        <is>
          <t>Jean Cooke</t>
        </is>
      </c>
      <c r="G143" s="5" t="n">
        <v>52600</v>
      </c>
      <c r="H143" s="5" t="n">
        <v>43847.36</v>
      </c>
      <c r="I143" s="5" t="n">
        <v>43847.36</v>
      </c>
      <c r="J143" s="5" t="n">
        <v>37714.2</v>
      </c>
      <c r="K143" s="5" t="n">
        <v>37714.2</v>
      </c>
      <c r="L143" s="5" t="n">
        <v>0</v>
      </c>
      <c r="M143" s="5" t="n">
        <v>31436.99</v>
      </c>
      <c r="N143" s="5" t="n">
        <v>6277.209999999995</v>
      </c>
      <c r="O143" s="5" t="n">
        <v>6277.209999999995</v>
      </c>
      <c r="P143" s="4" t="n"/>
      <c r="Q143" s="6" t="n">
        <v>0.834</v>
      </c>
      <c r="R143" s="6" t="n">
        <v>0.8336</v>
      </c>
    </row>
    <row r="144">
      <c r="A144" s="4" t="inlineStr">
        <is>
          <t>24-PC-31750</t>
        </is>
      </c>
      <c r="B144" s="4" t="inlineStr">
        <is>
          <t>Kestrel Butte Park Improvements - Phase I Survey</t>
        </is>
      </c>
      <c r="C144" s="4" t="inlineStr">
        <is>
          <t>Final Reporting/Review</t>
        </is>
      </c>
      <c r="D144" s="4" t="inlineStr">
        <is>
          <t>Fixed fee</t>
        </is>
      </c>
      <c r="E144" s="4" t="inlineStr">
        <is>
          <t>Cascade</t>
        </is>
      </c>
      <c r="F144" s="4" t="inlineStr">
        <is>
          <t>Cassidy Gay</t>
        </is>
      </c>
      <c r="G144" s="5" t="n">
        <v>257200</v>
      </c>
      <c r="H144" s="5" t="n">
        <v>217488.32</v>
      </c>
      <c r="I144" s="5" t="n">
        <v>212721.72</v>
      </c>
      <c r="J144" s="5" t="n">
        <v>200024.44</v>
      </c>
      <c r="K144" s="5" t="n">
        <v>200024.44</v>
      </c>
      <c r="L144" s="5" t="n">
        <v>0</v>
      </c>
      <c r="M144" s="5" t="n">
        <v>169133.72</v>
      </c>
      <c r="N144" s="5" t="n">
        <v>30890.72</v>
      </c>
      <c r="O144" s="5" t="n">
        <v>30890.72</v>
      </c>
      <c r="P144" s="4" t="n"/>
      <c r="Q144" s="6" t="n">
        <v>0.846</v>
      </c>
      <c r="R144" s="6" t="n">
        <v>0.8456</v>
      </c>
    </row>
    <row r="145">
      <c r="A145" s="4" t="inlineStr">
        <is>
          <t>24-PC-31819</t>
        </is>
      </c>
      <c r="B145" s="4" t="inlineStr">
        <is>
          <t>Plover Cove Reservoir - Curation</t>
        </is>
      </c>
      <c r="C145" s="4" t="inlineStr">
        <is>
          <t>Final Reporting/Review</t>
        </is>
      </c>
      <c r="D145" s="4" t="inlineStr">
        <is>
          <t>Time and material</t>
        </is>
      </c>
      <c r="E145" s="4" t="inlineStr">
        <is>
          <t>Cascade</t>
        </is>
      </c>
      <c r="F145" s="4" t="inlineStr">
        <is>
          <t>Gene Nixon</t>
        </is>
      </c>
      <c r="G145" s="5" t="n">
        <v>38600</v>
      </c>
      <c r="H145" s="5" t="n">
        <v>26248</v>
      </c>
      <c r="I145" s="5" t="n">
        <v>26248</v>
      </c>
      <c r="J145" s="5" t="n">
        <v>26703.48</v>
      </c>
      <c r="K145" s="5" t="n">
        <v>26703.48</v>
      </c>
      <c r="L145" s="5" t="n">
        <v>0</v>
      </c>
      <c r="M145" s="5" t="n">
        <v>15843.15</v>
      </c>
      <c r="N145" s="5" t="n">
        <v>10860.33</v>
      </c>
      <c r="O145" s="5" t="n">
        <v>10860.33</v>
      </c>
      <c r="P145" s="4" t="n"/>
      <c r="Q145" s="6" t="n">
        <v>0.68</v>
      </c>
      <c r="R145" s="6" t="n">
        <v>0.5933</v>
      </c>
    </row>
    <row r="146">
      <c r="A146" s="4" t="inlineStr">
        <is>
          <t>24-PC-31857</t>
        </is>
      </c>
      <c r="B146" s="4" t="inlineStr">
        <is>
          <t>Falcon Mesa Airport Apron Environmental Review Support</t>
        </is>
      </c>
      <c r="C146" s="4" t="inlineStr">
        <is>
          <t>In Progress</t>
        </is>
      </c>
      <c r="D146" s="4" t="inlineStr">
        <is>
          <t>Time and material</t>
        </is>
      </c>
      <c r="E146" s="4" t="inlineStr">
        <is>
          <t>Cascade</t>
        </is>
      </c>
      <c r="F146" s="4" t="inlineStr">
        <is>
          <t>Gene Nixon</t>
        </is>
      </c>
      <c r="G146" s="5" t="n">
        <v>15200</v>
      </c>
      <c r="H146" s="5" t="n">
        <v>10871.15</v>
      </c>
      <c r="I146" s="5" t="n">
        <v>10871.15</v>
      </c>
      <c r="J146" s="5" t="n">
        <v>10676.48</v>
      </c>
      <c r="K146" s="5" t="n">
        <v>10676.48</v>
      </c>
      <c r="L146" s="5" t="n">
        <v>0</v>
      </c>
      <c r="M146" s="5" t="n">
        <v>7665.21</v>
      </c>
      <c r="N146" s="5" t="n">
        <v>3011.27</v>
      </c>
      <c r="O146" s="5" t="n">
        <v>3011.27</v>
      </c>
      <c r="P146" s="4" t="n"/>
      <c r="Q146" s="6" t="n">
        <v>0.715</v>
      </c>
      <c r="R146" s="6" t="n">
        <v>0.718</v>
      </c>
    </row>
    <row r="147">
      <c r="A147" s="4" t="inlineStr">
        <is>
          <t>24-PC-31924</t>
        </is>
      </c>
      <c r="B147" s="4" t="inlineStr">
        <is>
          <t>Cedar Hollow Wind Farm - Cultural Resources Assessment</t>
        </is>
      </c>
      <c r="C147" s="4" t="inlineStr">
        <is>
          <t>In Progress</t>
        </is>
      </c>
      <c r="D147" s="4" t="inlineStr">
        <is>
          <t>Fixed fee</t>
        </is>
      </c>
      <c r="E147" s="4" t="inlineStr">
        <is>
          <t>Cascade</t>
        </is>
      </c>
      <c r="F147" s="4" t="inlineStr">
        <is>
          <t>Gene Nixon</t>
        </is>
      </c>
      <c r="G147" s="5" t="n">
        <v>186800</v>
      </c>
      <c r="H147" s="5" t="n">
        <v>123811.04</v>
      </c>
      <c r="I147" s="5" t="n">
        <v>123811.04</v>
      </c>
      <c r="J147" s="5" t="n">
        <v>147262.72</v>
      </c>
      <c r="K147" s="5" t="n">
        <v>122646.08</v>
      </c>
      <c r="L147" s="5" t="n">
        <v>24616.64</v>
      </c>
      <c r="M147" s="5" t="n">
        <v>97605.67</v>
      </c>
      <c r="N147" s="5" t="n">
        <v>49657.05</v>
      </c>
      <c r="O147" s="5" t="n">
        <v>25040.41</v>
      </c>
      <c r="P147" s="4" t="n"/>
      <c r="Q147" s="6" t="n">
        <v>0.663</v>
      </c>
      <c r="R147" s="6" t="n">
        <v>0.6627999999999999</v>
      </c>
    </row>
    <row r="148">
      <c r="A148" s="4" t="inlineStr">
        <is>
          <t>24-PC-32088</t>
        </is>
      </c>
      <c r="B148" s="4" t="inlineStr">
        <is>
          <t>Elk Meadow Phase I Survey</t>
        </is>
      </c>
      <c r="C148" s="4" t="inlineStr">
        <is>
          <t>In Progress</t>
        </is>
      </c>
      <c r="D148" s="4" t="inlineStr">
        <is>
          <t>Time and material</t>
        </is>
      </c>
      <c r="E148" s="4" t="inlineStr">
        <is>
          <t>Chesapeake</t>
        </is>
      </c>
      <c r="F148" s="4" t="inlineStr">
        <is>
          <t>Jason Oconnor</t>
        </is>
      </c>
      <c r="G148" s="5" t="n">
        <v>305100</v>
      </c>
      <c r="H148" s="5" t="n">
        <v>207468</v>
      </c>
      <c r="I148" s="5" t="n">
        <v>207468</v>
      </c>
      <c r="J148" s="5" t="n">
        <v>228062.25</v>
      </c>
      <c r="K148" s="5" t="n">
        <v>228062.25</v>
      </c>
      <c r="L148" s="5" t="n">
        <v>0</v>
      </c>
      <c r="M148" s="5" t="n">
        <v>135703.34</v>
      </c>
      <c r="N148" s="5" t="n">
        <v>92358.91</v>
      </c>
      <c r="O148" s="5" t="n">
        <v>92358.91</v>
      </c>
      <c r="P148" s="4" t="n"/>
      <c r="Q148" s="6" t="n">
        <v>0.68</v>
      </c>
      <c r="R148" s="6" t="n">
        <v>0.595</v>
      </c>
    </row>
    <row r="149">
      <c r="A149" s="4" t="inlineStr">
        <is>
          <t>24-PC-32201</t>
        </is>
      </c>
      <c r="B149" s="4" t="inlineStr">
        <is>
          <t>Task Order 14: Hawk Point Harbor Dredging Maritime Remote Sensing Survey</t>
        </is>
      </c>
      <c r="C149" s="4" t="inlineStr">
        <is>
          <t>In Progress</t>
        </is>
      </c>
      <c r="D149" s="4" t="inlineStr">
        <is>
          <t>Fixed fee</t>
        </is>
      </c>
      <c r="E149" s="4" t="inlineStr">
        <is>
          <t>Chesapeake</t>
        </is>
      </c>
      <c r="F149" s="4" t="inlineStr">
        <is>
          <t>Jason Oconnor</t>
        </is>
      </c>
      <c r="G149" s="5" t="n">
        <v>51800</v>
      </c>
      <c r="H149" s="5" t="n">
        <v>51800</v>
      </c>
      <c r="I149" s="5" t="n">
        <v>50026.67</v>
      </c>
      <c r="J149" s="5" t="n">
        <v>36731.38</v>
      </c>
      <c r="K149" s="5" t="n">
        <v>36731.38</v>
      </c>
      <c r="L149" s="5" t="n">
        <v>0</v>
      </c>
      <c r="M149" s="5" t="n">
        <v>59530.75</v>
      </c>
      <c r="N149" s="5" t="n">
        <v>-22799.37</v>
      </c>
      <c r="O149" s="5" t="n">
        <v>-22799.37</v>
      </c>
      <c r="P149" s="4" t="n"/>
      <c r="Q149" s="6" t="n">
        <v>1</v>
      </c>
      <c r="R149" s="6" t="n">
        <v>1.6207</v>
      </c>
    </row>
    <row r="150">
      <c r="A150" s="4" t="inlineStr">
        <is>
          <t>24-PC-32209</t>
        </is>
      </c>
      <c r="B150" s="4" t="inlineStr">
        <is>
          <t>Saltgrass Wastewater Plant - Phase I Survey</t>
        </is>
      </c>
      <c r="C150" s="4" t="inlineStr">
        <is>
          <t>In Progress</t>
        </is>
      </c>
      <c r="D150" s="4" t="inlineStr">
        <is>
          <t>Fixed fee</t>
        </is>
      </c>
      <c r="E150" s="4" t="inlineStr">
        <is>
          <t>Chesapeake</t>
        </is>
      </c>
      <c r="F150" s="4" t="inlineStr">
        <is>
          <t>Ian Maddox</t>
        </is>
      </c>
      <c r="G150" s="5" t="n">
        <v>13000</v>
      </c>
      <c r="H150" s="5" t="n">
        <v>12785.5</v>
      </c>
      <c r="I150" s="5" t="n">
        <v>12785.5</v>
      </c>
      <c r="J150" s="5" t="n">
        <v>9029.25</v>
      </c>
      <c r="K150" s="5" t="n">
        <v>7229.76</v>
      </c>
      <c r="L150" s="5" t="n">
        <v>1799.49</v>
      </c>
      <c r="M150" s="5" t="n">
        <v>8880.110000000001</v>
      </c>
      <c r="N150" s="5" t="n">
        <v>149.1399999999994</v>
      </c>
      <c r="O150" s="5" t="n">
        <v>-1650.35</v>
      </c>
      <c r="P150" s="4" t="n"/>
      <c r="Q150" s="6" t="n">
        <v>0.984</v>
      </c>
      <c r="R150" s="6" t="n">
        <v>0.9835</v>
      </c>
    </row>
    <row r="151">
      <c r="A151" s="4" t="inlineStr">
        <is>
          <t>24-PC-32210</t>
        </is>
      </c>
      <c r="B151" s="4" t="inlineStr">
        <is>
          <t>Badger Hollow Transmission Line - Class III Survey</t>
        </is>
      </c>
      <c r="C151" s="4" t="inlineStr">
        <is>
          <t>In Progress</t>
        </is>
      </c>
      <c r="D151" s="4" t="inlineStr">
        <is>
          <t>Fixed fee</t>
        </is>
      </c>
      <c r="E151" s="4" t="inlineStr">
        <is>
          <t>Chesapeake</t>
        </is>
      </c>
      <c r="F151" s="4" t="inlineStr">
        <is>
          <t>Alexandria Wilkinson</t>
        </is>
      </c>
      <c r="G151" s="5" t="n">
        <v>114400</v>
      </c>
      <c r="H151" s="5" t="n">
        <v>79496.56</v>
      </c>
      <c r="I151" s="5" t="n">
        <v>79496.56</v>
      </c>
      <c r="J151" s="5" t="n">
        <v>91211.12</v>
      </c>
      <c r="K151" s="5" t="n">
        <v>91211.12</v>
      </c>
      <c r="L151" s="5" t="n">
        <v>0</v>
      </c>
      <c r="M151" s="5" t="n">
        <v>63386.97</v>
      </c>
      <c r="N151" s="5" t="n">
        <v>27824.14999999999</v>
      </c>
      <c r="O151" s="5" t="n">
        <v>27824.14999999999</v>
      </c>
      <c r="P151" s="4" t="n"/>
      <c r="Q151" s="6" t="n">
        <v>0.695</v>
      </c>
      <c r="R151" s="6" t="n">
        <v>0.6949</v>
      </c>
    </row>
    <row r="152">
      <c r="A152" s="4" t="inlineStr">
        <is>
          <t>24-PC-32479</t>
        </is>
      </c>
      <c r="B152" s="4" t="inlineStr">
        <is>
          <t>Riverbend Transmission Line Maritime Remote Sensing Survey</t>
        </is>
      </c>
      <c r="C152" s="4" t="inlineStr">
        <is>
          <t>In Progress</t>
        </is>
      </c>
      <c r="D152" s="4" t="inlineStr">
        <is>
          <t>Fixed fee</t>
        </is>
      </c>
      <c r="E152" s="4" t="inlineStr">
        <is>
          <t>Chesapeake</t>
        </is>
      </c>
      <c r="F152" s="4" t="inlineStr">
        <is>
          <t>Alexandria Wilkinson</t>
        </is>
      </c>
      <c r="G152" s="5" t="n">
        <v>94000</v>
      </c>
      <c r="H152" s="5" t="n">
        <v>62594.6</v>
      </c>
      <c r="I152" s="5" t="n">
        <v>62594.6</v>
      </c>
      <c r="J152" s="5" t="n">
        <v>66890.39999999999</v>
      </c>
      <c r="K152" s="5" t="n">
        <v>66890.39999999999</v>
      </c>
      <c r="L152" s="5" t="n">
        <v>0</v>
      </c>
      <c r="M152" s="5" t="n">
        <v>44542.3</v>
      </c>
      <c r="N152" s="5" t="n">
        <v>22348.09999999999</v>
      </c>
      <c r="O152" s="5" t="n">
        <v>22348.09999999999</v>
      </c>
      <c r="P152" s="4" t="n"/>
      <c r="Q152" s="6" t="n">
        <v>0.666</v>
      </c>
      <c r="R152" s="6" t="n">
        <v>0.6659</v>
      </c>
    </row>
    <row r="153">
      <c r="A153" s="4" t="inlineStr">
        <is>
          <t>24-PC-32640</t>
        </is>
      </c>
      <c r="B153" s="4" t="inlineStr">
        <is>
          <t>Badger Hollow Harbor Dredging Architectural History Survey</t>
        </is>
      </c>
      <c r="C153" s="4" t="inlineStr">
        <is>
          <t>Transferred Entity</t>
        </is>
      </c>
      <c r="D153" s="4" t="inlineStr">
        <is>
          <t>Time and material</t>
        </is>
      </c>
      <c r="E153" s="4" t="inlineStr">
        <is>
          <t>Chesapeake</t>
        </is>
      </c>
      <c r="F153" s="4" t="inlineStr">
        <is>
          <t>Alexandria Wilkinson</t>
        </is>
      </c>
      <c r="G153" s="5" t="n">
        <v>39000</v>
      </c>
      <c r="H153" s="5" t="n">
        <v>26520</v>
      </c>
      <c r="I153" s="5" t="n">
        <v>26520</v>
      </c>
      <c r="J153" s="5" t="n">
        <v>28130.47</v>
      </c>
      <c r="K153" s="5" t="n">
        <v>21303</v>
      </c>
      <c r="L153" s="5" t="n">
        <v>6827.47</v>
      </c>
      <c r="M153" s="5" t="n">
        <v>22328.99</v>
      </c>
      <c r="N153" s="5" t="n">
        <v>5801.48</v>
      </c>
      <c r="O153" s="5" t="n">
        <v>-1025.990000000002</v>
      </c>
      <c r="P153" s="4" t="n"/>
      <c r="Q153" s="6" t="n">
        <v>0.68</v>
      </c>
      <c r="R153" s="6" t="n">
        <v>0.7938</v>
      </c>
    </row>
    <row r="154">
      <c r="A154" s="4" t="inlineStr">
        <is>
          <t>24-PC-32647</t>
        </is>
      </c>
      <c r="B154" s="4" t="inlineStr">
        <is>
          <t>On-Call: Granite Pass Substation Cultural Resources Monitoring</t>
        </is>
      </c>
      <c r="C154" s="4" t="inlineStr">
        <is>
          <t>Final Reporting/Review</t>
        </is>
      </c>
      <c r="D154" s="4" t="inlineStr">
        <is>
          <t>Fixed fee</t>
        </is>
      </c>
      <c r="E154" s="4" t="inlineStr">
        <is>
          <t>Chesapeake</t>
        </is>
      </c>
      <c r="F154" s="4" t="inlineStr">
        <is>
          <t>Alexandria Wilkinson</t>
        </is>
      </c>
      <c r="G154" s="5" t="n">
        <v>84000</v>
      </c>
      <c r="H154" s="5" t="n">
        <v>84000</v>
      </c>
      <c r="I154" s="5" t="n">
        <v>83888.35000000001</v>
      </c>
      <c r="J154" s="5" t="n">
        <v>70198.8</v>
      </c>
      <c r="K154" s="5" t="n">
        <v>70198.8</v>
      </c>
      <c r="L154" s="5" t="n">
        <v>0</v>
      </c>
      <c r="M154" s="5" t="n">
        <v>85361.67</v>
      </c>
      <c r="N154" s="5" t="n">
        <v>-15162.87</v>
      </c>
      <c r="O154" s="5" t="n">
        <v>-15162.87</v>
      </c>
      <c r="P154" s="4" t="n"/>
      <c r="Q154" s="6" t="n">
        <v>1</v>
      </c>
      <c r="R154" s="6" t="n">
        <v>1.216</v>
      </c>
    </row>
    <row r="155">
      <c r="A155" s="4" t="inlineStr">
        <is>
          <t>24-PC-32688</t>
        </is>
      </c>
      <c r="B155" s="4" t="inlineStr">
        <is>
          <t>Phase II: Tamarack Reservoir Paleontological Monitoring</t>
        </is>
      </c>
      <c r="C155" s="4" t="inlineStr">
        <is>
          <t>In Progress</t>
        </is>
      </c>
      <c r="D155" s="4" t="inlineStr">
        <is>
          <t>Fixed fee</t>
        </is>
      </c>
      <c r="E155" s="4" t="inlineStr">
        <is>
          <t>Chesapeake</t>
        </is>
      </c>
      <c r="F155" s="4" t="inlineStr">
        <is>
          <t>Ian Maddox</t>
        </is>
      </c>
      <c r="G155" s="5" t="n">
        <v>51700</v>
      </c>
      <c r="H155" s="5" t="n">
        <v>44730.84</v>
      </c>
      <c r="I155" s="5" t="n">
        <v>44730.84</v>
      </c>
      <c r="J155" s="5" t="n">
        <v>45206.48</v>
      </c>
      <c r="K155" s="5" t="n">
        <v>45206.48</v>
      </c>
      <c r="L155" s="5" t="n">
        <v>0</v>
      </c>
      <c r="M155" s="5" t="n">
        <v>39111.36</v>
      </c>
      <c r="N155" s="5" t="n">
        <v>6095.120000000003</v>
      </c>
      <c r="O155" s="5" t="n">
        <v>6095.120000000003</v>
      </c>
      <c r="P155" s="4" t="n"/>
      <c r="Q155" s="6" t="n">
        <v>0.865</v>
      </c>
      <c r="R155" s="6" t="n">
        <v>0.8652</v>
      </c>
    </row>
    <row r="156">
      <c r="A156" s="4" t="inlineStr">
        <is>
          <t>24-PC-32954</t>
        </is>
      </c>
      <c r="B156" s="4" t="inlineStr">
        <is>
          <t>Redbud Substation - Historic Resources Evaluation</t>
        </is>
      </c>
      <c r="C156" s="4" t="inlineStr">
        <is>
          <t>In Progress</t>
        </is>
      </c>
      <c r="D156" s="4" t="inlineStr">
        <is>
          <t>Time and material</t>
        </is>
      </c>
      <c r="E156" s="4" t="inlineStr">
        <is>
          <t>Front Range</t>
        </is>
      </c>
      <c r="F156" s="4" t="inlineStr">
        <is>
          <t>Kimberly Daugherty</t>
        </is>
      </c>
      <c r="G156" s="5" t="n">
        <v>331200</v>
      </c>
      <c r="H156" s="5" t="n">
        <v>225216</v>
      </c>
      <c r="I156" s="5" t="n">
        <v>225216</v>
      </c>
      <c r="J156" s="5" t="n">
        <v>217532.16</v>
      </c>
      <c r="K156" s="5" t="n">
        <v>217532.16</v>
      </c>
      <c r="L156" s="5" t="n">
        <v>0</v>
      </c>
      <c r="M156" s="5" t="n">
        <v>114290.35</v>
      </c>
      <c r="N156" s="5" t="n">
        <v>103241.81</v>
      </c>
      <c r="O156" s="5" t="n">
        <v>103241.81</v>
      </c>
      <c r="P156" s="4" t="n"/>
      <c r="Q156" s="6" t="n">
        <v>0.68</v>
      </c>
      <c r="R156" s="6" t="n">
        <v>0.5254</v>
      </c>
    </row>
    <row r="157">
      <c r="A157" s="4" t="inlineStr">
        <is>
          <t>24-PC-33384</t>
        </is>
      </c>
      <c r="B157" s="4" t="inlineStr">
        <is>
          <t>Phase III: Pine Hollow Rail Siding Maritime Remote Sensing Survey</t>
        </is>
      </c>
      <c r="C157" s="4" t="inlineStr">
        <is>
          <t>In Progress</t>
        </is>
      </c>
      <c r="D157" s="4" t="inlineStr">
        <is>
          <t>Time and material</t>
        </is>
      </c>
      <c r="E157" s="4" t="inlineStr">
        <is>
          <t>Front Range</t>
        </is>
      </c>
      <c r="F157" s="4" t="inlineStr">
        <is>
          <t>Dean Velazquez</t>
        </is>
      </c>
      <c r="G157" s="5" t="n">
        <v>288100</v>
      </c>
      <c r="H157" s="5" t="n">
        <v>195908</v>
      </c>
      <c r="I157" s="5" t="n">
        <v>195908</v>
      </c>
      <c r="J157" s="5" t="n">
        <v>207230.33</v>
      </c>
      <c r="K157" s="5" t="n">
        <v>207230.33</v>
      </c>
      <c r="L157" s="5" t="n">
        <v>0</v>
      </c>
      <c r="M157" s="5" t="n">
        <v>139777.64</v>
      </c>
      <c r="N157" s="5" t="n">
        <v>67452.68999999997</v>
      </c>
      <c r="O157" s="5" t="n">
        <v>67452.68999999997</v>
      </c>
      <c r="P157" s="4" t="n"/>
      <c r="Q157" s="6" t="n">
        <v>0.68</v>
      </c>
      <c r="R157" s="6" t="n">
        <v>0.6745</v>
      </c>
    </row>
    <row r="158">
      <c r="A158" s="4" t="inlineStr">
        <is>
          <t>24-PC-33394</t>
        </is>
      </c>
      <c r="B158" s="4" t="inlineStr">
        <is>
          <t>Foxglove Park Improvements Cultural Resources Assessment</t>
        </is>
      </c>
      <c r="C158" s="4" t="inlineStr">
        <is>
          <t>In Progress</t>
        </is>
      </c>
      <c r="D158" s="4" t="inlineStr">
        <is>
          <t>Time and material</t>
        </is>
      </c>
      <c r="E158" s="4" t="inlineStr">
        <is>
          <t>Front Range</t>
        </is>
      </c>
      <c r="F158" s="4" t="inlineStr">
        <is>
          <t>Joanna Herrera</t>
        </is>
      </c>
      <c r="G158" s="5" t="n">
        <v>298200</v>
      </c>
      <c r="H158" s="5" t="n">
        <v>202776</v>
      </c>
      <c r="I158" s="5" t="n">
        <v>202776</v>
      </c>
      <c r="J158" s="5" t="n">
        <v>197617.14</v>
      </c>
      <c r="K158" s="5" t="n">
        <v>197617.14</v>
      </c>
      <c r="L158" s="5" t="n">
        <v>0</v>
      </c>
      <c r="M158" s="5" t="n">
        <v>102377.3</v>
      </c>
      <c r="N158" s="5" t="n">
        <v>95239.84000000001</v>
      </c>
      <c r="O158" s="5" t="n">
        <v>95239.84000000001</v>
      </c>
      <c r="P158" s="4" t="n"/>
      <c r="Q158" s="6" t="n">
        <v>0.68</v>
      </c>
      <c r="R158" s="6" t="n">
        <v>0.5181</v>
      </c>
    </row>
    <row r="159">
      <c r="A159" s="4" t="inlineStr">
        <is>
          <t>24-PC-33448</t>
        </is>
      </c>
      <c r="B159" s="4" t="inlineStr">
        <is>
          <t>Ember Valley Solar Architectural History Survey</t>
        </is>
      </c>
      <c r="C159" s="4" t="inlineStr">
        <is>
          <t>In Progress</t>
        </is>
      </c>
      <c r="D159" s="4" t="inlineStr">
        <is>
          <t>Fixed fee</t>
        </is>
      </c>
      <c r="E159" s="4" t="inlineStr">
        <is>
          <t>Front Range</t>
        </is>
      </c>
      <c r="F159" s="4" t="inlineStr">
        <is>
          <t>Devon Pitts</t>
        </is>
      </c>
      <c r="G159" s="5" t="n">
        <v>681000</v>
      </c>
      <c r="H159" s="5" t="n">
        <v>563868</v>
      </c>
      <c r="I159" s="5" t="n">
        <v>560235.9399999999</v>
      </c>
      <c r="J159" s="5" t="n">
        <v>419972.7</v>
      </c>
      <c r="K159" s="5" t="n">
        <v>419972.7</v>
      </c>
      <c r="L159" s="5" t="n">
        <v>0</v>
      </c>
      <c r="M159" s="5" t="n">
        <v>347755.54</v>
      </c>
      <c r="N159" s="5" t="n">
        <v>72217.16000000003</v>
      </c>
      <c r="O159" s="5" t="n">
        <v>72217.16000000003</v>
      </c>
      <c r="P159" s="4" t="n"/>
      <c r="Q159" s="6" t="n">
        <v>0.828</v>
      </c>
      <c r="R159" s="6" t="n">
        <v>0.828</v>
      </c>
    </row>
    <row r="160">
      <c r="A160" s="4" t="inlineStr">
        <is>
          <t>24-PC-33531</t>
        </is>
      </c>
      <c r="B160" s="4" t="inlineStr">
        <is>
          <t>North Fork Park Improvements - Curation</t>
        </is>
      </c>
      <c r="C160" s="4" t="inlineStr">
        <is>
          <t>Lab/Curation</t>
        </is>
      </c>
      <c r="D160" s="4" t="inlineStr">
        <is>
          <t>Fixed fee</t>
        </is>
      </c>
      <c r="E160" s="4" t="inlineStr">
        <is>
          <t>Front Range</t>
        </is>
      </c>
      <c r="F160" s="4" t="inlineStr">
        <is>
          <t>Dean Velazquez</t>
        </is>
      </c>
      <c r="G160" s="5" t="n">
        <v>31500</v>
      </c>
      <c r="H160" s="5" t="n">
        <v>23965.2</v>
      </c>
      <c r="I160" s="5" t="n">
        <v>23965.2</v>
      </c>
      <c r="J160" s="5" t="n">
        <v>23760.45</v>
      </c>
      <c r="K160" s="5" t="n">
        <v>23760.45</v>
      </c>
      <c r="L160" s="5" t="n">
        <v>0</v>
      </c>
      <c r="M160" s="5" t="n">
        <v>18077.06</v>
      </c>
      <c r="N160" s="5" t="n">
        <v>5683.389999999999</v>
      </c>
      <c r="O160" s="5" t="n">
        <v>5683.389999999999</v>
      </c>
      <c r="P160" s="4" t="n"/>
      <c r="Q160" s="6" t="n">
        <v>0.761</v>
      </c>
      <c r="R160" s="6" t="n">
        <v>0.7608</v>
      </c>
    </row>
    <row r="161">
      <c r="A161" s="4" t="inlineStr">
        <is>
          <t>24-PC-33575</t>
        </is>
      </c>
      <c r="B161" s="4" t="inlineStr">
        <is>
          <t>On-Call: North Fork Trail Architectural History Survey</t>
        </is>
      </c>
      <c r="C161" s="4" t="inlineStr">
        <is>
          <t>Final Reporting/Review</t>
        </is>
      </c>
      <c r="D161" s="4" t="inlineStr">
        <is>
          <t>Time and material</t>
        </is>
      </c>
      <c r="E161" s="4" t="inlineStr">
        <is>
          <t>Front Range</t>
        </is>
      </c>
      <c r="F161" s="4" t="inlineStr">
        <is>
          <t>Devon Pitts</t>
        </is>
      </c>
      <c r="G161" s="5" t="n">
        <v>589600</v>
      </c>
      <c r="H161" s="5" t="n">
        <v>384232.95</v>
      </c>
      <c r="I161" s="5" t="n">
        <v>369763.26</v>
      </c>
      <c r="J161" s="5" t="n">
        <v>433356</v>
      </c>
      <c r="K161" s="5" t="n">
        <v>433356</v>
      </c>
      <c r="L161" s="5" t="n">
        <v>0</v>
      </c>
      <c r="M161" s="5" t="n">
        <v>309438.42</v>
      </c>
      <c r="N161" s="5" t="n">
        <v>123917.58</v>
      </c>
      <c r="O161" s="5" t="n">
        <v>123917.58</v>
      </c>
      <c r="P161" s="4" t="n"/>
      <c r="Q161" s="6" t="n">
        <v>0.652</v>
      </c>
      <c r="R161" s="6" t="n">
        <v>0.7141</v>
      </c>
    </row>
    <row r="162">
      <c r="A162" s="4" t="inlineStr">
        <is>
          <t>24-PC-33822</t>
        </is>
      </c>
      <c r="B162" s="4" t="inlineStr">
        <is>
          <t>Task Order 36: Windmill Flat School Campus Cultural Resources Monitoring</t>
        </is>
      </c>
      <c r="C162" s="4" t="inlineStr">
        <is>
          <t>In Progress</t>
        </is>
      </c>
      <c r="D162" s="4" t="inlineStr">
        <is>
          <t>Fixed fee</t>
        </is>
      </c>
      <c r="E162" s="4" t="inlineStr">
        <is>
          <t>Great Lakes</t>
        </is>
      </c>
      <c r="F162" s="4" t="inlineStr">
        <is>
          <t>Karl Valenzuela</t>
        </is>
      </c>
      <c r="G162" s="5" t="n">
        <v>64500</v>
      </c>
      <c r="H162" s="5" t="n">
        <v>59346.45</v>
      </c>
      <c r="I162" s="5" t="n">
        <v>57224.04</v>
      </c>
      <c r="J162" s="5" t="n">
        <v>49568.25</v>
      </c>
      <c r="K162" s="5" t="n">
        <v>49568.25</v>
      </c>
      <c r="L162" s="5" t="n">
        <v>0</v>
      </c>
      <c r="M162" s="5" t="n">
        <v>45606.09</v>
      </c>
      <c r="N162" s="5" t="n">
        <v>3962.160000000003</v>
      </c>
      <c r="O162" s="5" t="n">
        <v>3962.160000000003</v>
      </c>
      <c r="P162" s="4" t="n"/>
      <c r="Q162" s="6" t="n">
        <v>0.92</v>
      </c>
      <c r="R162" s="6" t="n">
        <v>0.9201</v>
      </c>
    </row>
    <row r="163">
      <c r="A163" s="4" t="inlineStr">
        <is>
          <t>24-PC-33927</t>
        </is>
      </c>
      <c r="B163" s="4" t="inlineStr">
        <is>
          <t>Aspen Ridge Solar Class III Survey</t>
        </is>
      </c>
      <c r="C163" s="4" t="inlineStr">
        <is>
          <t>Final Reporting/Review</t>
        </is>
      </c>
      <c r="D163" s="4" t="inlineStr">
        <is>
          <t>Fixed fee</t>
        </is>
      </c>
      <c r="E163" s="4" t="inlineStr">
        <is>
          <t>Great Lakes</t>
        </is>
      </c>
      <c r="F163" s="4" t="inlineStr">
        <is>
          <t>Nathan Lambert</t>
        </is>
      </c>
      <c r="G163" s="5" t="n">
        <v>104000</v>
      </c>
      <c r="H163" s="5" t="n">
        <v>57012.8</v>
      </c>
      <c r="I163" s="5" t="n">
        <v>57012.8</v>
      </c>
      <c r="J163" s="5" t="n">
        <v>77001.60000000001</v>
      </c>
      <c r="K163" s="5" t="n">
        <v>77001.60000000001</v>
      </c>
      <c r="L163" s="5" t="n">
        <v>0</v>
      </c>
      <c r="M163" s="5" t="n">
        <v>42209.16</v>
      </c>
      <c r="N163" s="5" t="n">
        <v>34792.44</v>
      </c>
      <c r="O163" s="5" t="n">
        <v>34792.44</v>
      </c>
      <c r="P163" s="4" t="n"/>
      <c r="Q163" s="6" t="n">
        <v>0.548</v>
      </c>
      <c r="R163" s="6" t="n">
        <v>0.5482</v>
      </c>
    </row>
    <row r="164">
      <c r="A164" s="4" t="inlineStr">
        <is>
          <t>24-PC-33981</t>
        </is>
      </c>
      <c r="B164" s="4" t="inlineStr">
        <is>
          <t>Yarrow Point Airport Apron - Phase II Testing</t>
        </is>
      </c>
      <c r="C164" s="4" t="inlineStr">
        <is>
          <t>Lab/Curation</t>
        </is>
      </c>
      <c r="D164" s="4" t="inlineStr">
        <is>
          <t>Time and material</t>
        </is>
      </c>
      <c r="E164" s="4" t="inlineStr">
        <is>
          <t>Great Lakes</t>
        </is>
      </c>
      <c r="F164" s="4" t="inlineStr">
        <is>
          <t>Nathan Lambert</t>
        </is>
      </c>
      <c r="G164" s="5" t="n">
        <v>47500</v>
      </c>
      <c r="H164" s="5" t="n">
        <v>36664.5</v>
      </c>
      <c r="I164" s="5" t="n">
        <v>36664.5</v>
      </c>
      <c r="J164" s="5" t="n">
        <v>29944</v>
      </c>
      <c r="K164" s="5" t="n">
        <v>29944</v>
      </c>
      <c r="L164" s="5" t="n">
        <v>0</v>
      </c>
      <c r="M164" s="5" t="n">
        <v>26339.43</v>
      </c>
      <c r="N164" s="5" t="n">
        <v>3604.57</v>
      </c>
      <c r="O164" s="5" t="n">
        <v>3604.57</v>
      </c>
      <c r="P164" s="4" t="n"/>
      <c r="Q164" s="6" t="n">
        <v>0.772</v>
      </c>
      <c r="R164" s="6" t="n">
        <v>0.8796</v>
      </c>
    </row>
    <row r="165">
      <c r="A165" s="4" t="inlineStr">
        <is>
          <t>24-PC-33985</t>
        </is>
      </c>
      <c r="B165" s="4" t="inlineStr">
        <is>
          <t>Thistle Down Substation Curation</t>
        </is>
      </c>
      <c r="C165" s="4" t="inlineStr">
        <is>
          <t>In Progress</t>
        </is>
      </c>
      <c r="D165" s="4" t="inlineStr">
        <is>
          <t>Time and material</t>
        </is>
      </c>
      <c r="E165" s="4" t="inlineStr">
        <is>
          <t>Great Lakes</t>
        </is>
      </c>
      <c r="F165" s="4" t="inlineStr">
        <is>
          <t>Angelica Cervantes</t>
        </is>
      </c>
      <c r="G165" s="5" t="n">
        <v>78300</v>
      </c>
      <c r="H165" s="5" t="n">
        <v>53244</v>
      </c>
      <c r="I165" s="5" t="n">
        <v>53244</v>
      </c>
      <c r="J165" s="5" t="n">
        <v>57863.7</v>
      </c>
      <c r="K165" s="5" t="n">
        <v>57863.7</v>
      </c>
      <c r="L165" s="5" t="n">
        <v>0</v>
      </c>
      <c r="M165" s="5" t="n">
        <v>50630.38</v>
      </c>
      <c r="N165" s="5" t="n">
        <v>7233.32</v>
      </c>
      <c r="O165" s="5" t="n">
        <v>7233.32</v>
      </c>
      <c r="P165" s="4" t="n"/>
      <c r="Q165" s="6" t="n">
        <v>0.68</v>
      </c>
      <c r="R165" s="6" t="n">
        <v>0.875</v>
      </c>
    </row>
    <row r="166">
      <c r="A166" s="4" t="inlineStr">
        <is>
          <t>24-PC-34263</t>
        </is>
      </c>
      <c r="B166" s="4" t="inlineStr">
        <is>
          <t>Cedar Hollow Airport Apron Section 106 Consultation</t>
        </is>
      </c>
      <c r="C166" s="4" t="inlineStr">
        <is>
          <t>In Progress</t>
        </is>
      </c>
      <c r="D166" s="4" t="inlineStr">
        <is>
          <t>Fixed fee</t>
        </is>
      </c>
      <c r="E166" s="4" t="inlineStr">
        <is>
          <t>Great Lakes</t>
        </is>
      </c>
      <c r="F166" s="4" t="inlineStr">
        <is>
          <t>Robin Mercado</t>
        </is>
      </c>
      <c r="G166" s="5" t="n">
        <v>199300</v>
      </c>
      <c r="H166" s="5" t="n">
        <v>127292.91</v>
      </c>
      <c r="I166" s="5" t="n">
        <v>127292.91</v>
      </c>
      <c r="J166" s="5" t="n">
        <v>147800.88</v>
      </c>
      <c r="K166" s="5" t="n">
        <v>147800.88</v>
      </c>
      <c r="L166" s="5" t="n">
        <v>0</v>
      </c>
      <c r="M166" s="5" t="n">
        <v>94406.95</v>
      </c>
      <c r="N166" s="5" t="n">
        <v>53393.93000000001</v>
      </c>
      <c r="O166" s="5" t="n">
        <v>53393.93000000001</v>
      </c>
      <c r="P166" s="4" t="n"/>
      <c r="Q166" s="6" t="n">
        <v>0.639</v>
      </c>
      <c r="R166" s="6" t="n">
        <v>0.6387</v>
      </c>
    </row>
    <row r="167">
      <c r="A167" s="4" t="inlineStr">
        <is>
          <t>24-PC-34320</t>
        </is>
      </c>
      <c r="B167" s="4" t="inlineStr">
        <is>
          <t>Sage Flat Canal Lining Curation</t>
        </is>
      </c>
      <c r="C167" s="4" t="inlineStr">
        <is>
          <t>In Progress</t>
        </is>
      </c>
      <c r="D167" s="4" t="inlineStr">
        <is>
          <t>Fixed fee</t>
        </is>
      </c>
      <c r="E167" s="4" t="inlineStr">
        <is>
          <t>Great Lakes</t>
        </is>
      </c>
      <c r="F167" s="4" t="inlineStr">
        <is>
          <t>Nathan Lambert</t>
        </is>
      </c>
      <c r="G167" s="5" t="n">
        <v>388400</v>
      </c>
      <c r="H167" s="5" t="n">
        <v>279492.64</v>
      </c>
      <c r="I167" s="5" t="n">
        <v>279492.64</v>
      </c>
      <c r="J167" s="5" t="n">
        <v>253927.23</v>
      </c>
      <c r="K167" s="5" t="n">
        <v>209652.52</v>
      </c>
      <c r="L167" s="5" t="n">
        <v>44274.71</v>
      </c>
      <c r="M167" s="5" t="n">
        <v>182728.59</v>
      </c>
      <c r="N167" s="5" t="n">
        <v>71198.64000000001</v>
      </c>
      <c r="O167" s="5" t="n">
        <v>26923.92999999999</v>
      </c>
      <c r="P167" s="4" t="n"/>
      <c r="Q167" s="6" t="n">
        <v>0.72</v>
      </c>
      <c r="R167" s="6" t="n">
        <v>0.7196</v>
      </c>
    </row>
    <row r="168">
      <c r="A168" s="4" t="inlineStr">
        <is>
          <t>24-PC-34330</t>
        </is>
      </c>
      <c r="B168" s="4" t="inlineStr">
        <is>
          <t>On-Call: Harbor View Highway Widening Historic Resources Evaluation</t>
        </is>
      </c>
      <c r="C168" s="4" t="inlineStr">
        <is>
          <t>In Progress</t>
        </is>
      </c>
      <c r="D168" s="4" t="inlineStr">
        <is>
          <t>Time and material</t>
        </is>
      </c>
      <c r="E168" s="4" t="inlineStr">
        <is>
          <t>Great Lakes</t>
        </is>
      </c>
      <c r="F168" s="4" t="inlineStr">
        <is>
          <t>Karl Valenzuela</t>
        </is>
      </c>
      <c r="G168" s="5" t="n">
        <v>38700</v>
      </c>
      <c r="H168" s="5" t="n">
        <v>26316</v>
      </c>
      <c r="I168" s="5" t="n">
        <v>26316</v>
      </c>
      <c r="J168" s="5" t="n">
        <v>26644.95</v>
      </c>
      <c r="K168" s="5" t="n">
        <v>26644.95</v>
      </c>
      <c r="L168" s="5" t="n">
        <v>0</v>
      </c>
      <c r="M168" s="5" t="n">
        <v>19241.81</v>
      </c>
      <c r="N168" s="5" t="n">
        <v>7403.139999999999</v>
      </c>
      <c r="O168" s="5" t="n">
        <v>7403.139999999999</v>
      </c>
      <c r="P168" s="4" t="n"/>
      <c r="Q168" s="6" t="n">
        <v>0.68</v>
      </c>
      <c r="R168" s="6" t="n">
        <v>0.7222</v>
      </c>
    </row>
    <row r="169">
      <c r="A169" s="4" t="inlineStr">
        <is>
          <t>24-PC-34499</t>
        </is>
      </c>
      <c r="B169" s="4" t="inlineStr">
        <is>
          <t>Dove Canyon Trail - GIS Mapping</t>
        </is>
      </c>
      <c r="C169" s="4" t="inlineStr">
        <is>
          <t>In Progress</t>
        </is>
      </c>
      <c r="D169" s="4" t="inlineStr">
        <is>
          <t>Time and material</t>
        </is>
      </c>
      <c r="E169" s="4" t="inlineStr">
        <is>
          <t>Great Lakes</t>
        </is>
      </c>
      <c r="F169" s="4" t="inlineStr">
        <is>
          <t>Brendan Padilla</t>
        </is>
      </c>
      <c r="G169" s="5" t="n">
        <v>104200</v>
      </c>
      <c r="H169" s="5" t="n">
        <v>70856</v>
      </c>
      <c r="I169" s="5" t="n">
        <v>70856</v>
      </c>
      <c r="J169" s="5" t="n">
        <v>76427.58</v>
      </c>
      <c r="K169" s="5" t="n">
        <v>70842.85000000001</v>
      </c>
      <c r="L169" s="5" t="n">
        <v>5584.73</v>
      </c>
      <c r="M169" s="5" t="n">
        <v>75193.06</v>
      </c>
      <c r="N169" s="5" t="n">
        <v>1234.520000000004</v>
      </c>
      <c r="O169" s="5" t="n">
        <v>-4350.209999999992</v>
      </c>
      <c r="P169" s="4" t="n"/>
      <c r="Q169" s="6" t="n">
        <v>0.68</v>
      </c>
      <c r="R169" s="6" t="n">
        <v>0.9838</v>
      </c>
    </row>
    <row r="170">
      <c r="A170" s="4" t="inlineStr">
        <is>
          <t>24-PC-34593</t>
        </is>
      </c>
      <c r="B170" s="4" t="inlineStr">
        <is>
          <t>Riverbend Park Improvements - Paleontological Monitoring</t>
        </is>
      </c>
      <c r="C170" s="4" t="inlineStr">
        <is>
          <t>In Progress</t>
        </is>
      </c>
      <c r="D170" s="4" t="inlineStr">
        <is>
          <t>Fixed fee</t>
        </is>
      </c>
      <c r="E170" s="4" t="inlineStr">
        <is>
          <t>Great Lakes</t>
        </is>
      </c>
      <c r="F170" s="4" t="inlineStr">
        <is>
          <t>Leonard Mejia</t>
        </is>
      </c>
      <c r="G170" s="5" t="n">
        <v>43500</v>
      </c>
      <c r="H170" s="5" t="n">
        <v>25308.3</v>
      </c>
      <c r="I170" s="5" t="n">
        <v>25308.3</v>
      </c>
      <c r="J170" s="5" t="n">
        <v>33447.15</v>
      </c>
      <c r="K170" s="5" t="n">
        <v>33447.15</v>
      </c>
      <c r="L170" s="5" t="n">
        <v>0</v>
      </c>
      <c r="M170" s="5" t="n">
        <v>19459.27</v>
      </c>
      <c r="N170" s="5" t="n">
        <v>13987.88</v>
      </c>
      <c r="O170" s="5" t="n">
        <v>13987.88</v>
      </c>
      <c r="P170" s="4" t="n"/>
      <c r="Q170" s="6" t="n">
        <v>0.582</v>
      </c>
      <c r="R170" s="6" t="n">
        <v>0.5818</v>
      </c>
    </row>
    <row r="171">
      <c r="A171" s="4" t="inlineStr">
        <is>
          <t>24-PC-34654</t>
        </is>
      </c>
      <c r="B171" s="4" t="inlineStr">
        <is>
          <t>Timber Gap Phase II Testing</t>
        </is>
      </c>
      <c r="C171" s="4" t="inlineStr">
        <is>
          <t>Final Reporting/Review</t>
        </is>
      </c>
      <c r="D171" s="4" t="inlineStr">
        <is>
          <t>Time and material</t>
        </is>
      </c>
      <c r="E171" s="4" t="inlineStr">
        <is>
          <t>Great Lakes</t>
        </is>
      </c>
      <c r="F171" s="4" t="inlineStr">
        <is>
          <t>Brendan Padilla</t>
        </is>
      </c>
      <c r="G171" s="5" t="n">
        <v>115400</v>
      </c>
      <c r="H171" s="5" t="n">
        <v>82959.14999999999</v>
      </c>
      <c r="I171" s="5" t="n">
        <v>82899.95</v>
      </c>
      <c r="J171" s="5" t="n">
        <v>87787.28</v>
      </c>
      <c r="K171" s="5" t="n">
        <v>70825.08</v>
      </c>
      <c r="L171" s="5" t="n">
        <v>16962.2</v>
      </c>
      <c r="M171" s="5" t="n">
        <v>47046.35</v>
      </c>
      <c r="N171" s="5" t="n">
        <v>40740.93</v>
      </c>
      <c r="O171" s="5" t="n">
        <v>23778.73</v>
      </c>
      <c r="P171" s="4" t="n"/>
      <c r="Q171" s="6" t="n">
        <v>0.719</v>
      </c>
      <c r="R171" s="6" t="n">
        <v>0.5359</v>
      </c>
    </row>
    <row r="172">
      <c r="A172" s="4" t="inlineStr">
        <is>
          <t>24-PC-34663</t>
        </is>
      </c>
      <c r="B172" s="4" t="inlineStr">
        <is>
          <t>Redbud Airport Apron - GIS Mapping</t>
        </is>
      </c>
      <c r="C172" s="4" t="inlineStr">
        <is>
          <t>In Progress</t>
        </is>
      </c>
      <c r="D172" s="4" t="inlineStr">
        <is>
          <t>Time and material</t>
        </is>
      </c>
      <c r="E172" s="4" t="inlineStr">
        <is>
          <t>Great Lakes</t>
        </is>
      </c>
      <c r="F172" s="4" t="inlineStr">
        <is>
          <t>Kathleen Galvan</t>
        </is>
      </c>
      <c r="G172" s="5" t="n">
        <v>505100</v>
      </c>
      <c r="H172" s="5" t="n">
        <v>343468</v>
      </c>
      <c r="I172" s="5" t="n">
        <v>343468</v>
      </c>
      <c r="J172" s="5" t="n">
        <v>342760.86</v>
      </c>
      <c r="K172" s="5" t="n">
        <v>342760.86</v>
      </c>
      <c r="L172" s="5" t="n">
        <v>0</v>
      </c>
      <c r="M172" s="5" t="n">
        <v>286062.16</v>
      </c>
      <c r="N172" s="5" t="n">
        <v>56698.70000000001</v>
      </c>
      <c r="O172" s="5" t="n">
        <v>56698.70000000001</v>
      </c>
      <c r="P172" s="4" t="n"/>
      <c r="Q172" s="6" t="n">
        <v>0.68</v>
      </c>
      <c r="R172" s="6" t="n">
        <v>0.8346</v>
      </c>
    </row>
    <row r="173">
      <c r="A173" s="4" t="inlineStr">
        <is>
          <t>24-PC-34803</t>
        </is>
      </c>
      <c r="B173" s="4" t="inlineStr">
        <is>
          <t>Cedar Hollow Highway Widening - Section 106 Consultation</t>
        </is>
      </c>
      <c r="C173" s="4" t="inlineStr">
        <is>
          <t>In Progress</t>
        </is>
      </c>
      <c r="D173" s="4" t="inlineStr">
        <is>
          <t>Time and material</t>
        </is>
      </c>
      <c r="E173" s="4" t="inlineStr">
        <is>
          <t>Gulf Coast</t>
        </is>
      </c>
      <c r="F173" s="4" t="inlineStr">
        <is>
          <t>Courtney Daugherty</t>
        </is>
      </c>
      <c r="G173" s="5" t="n">
        <v>176500</v>
      </c>
      <c r="H173" s="5" t="n">
        <v>120020</v>
      </c>
      <c r="I173" s="5" t="n">
        <v>120020</v>
      </c>
      <c r="J173" s="5" t="n">
        <v>121414.35</v>
      </c>
      <c r="K173" s="5" t="n">
        <v>121414.35</v>
      </c>
      <c r="L173" s="5" t="n">
        <v>0</v>
      </c>
      <c r="M173" s="5" t="n">
        <v>122080.25</v>
      </c>
      <c r="N173" s="5" t="n">
        <v>-665.8999999999942</v>
      </c>
      <c r="O173" s="5" t="n">
        <v>-665.8999999999942</v>
      </c>
      <c r="P173" s="4" t="n"/>
      <c r="Q173" s="6" t="n">
        <v>0.68</v>
      </c>
      <c r="R173" s="6" t="n">
        <v>1.0055</v>
      </c>
    </row>
    <row r="174">
      <c r="A174" s="4" t="inlineStr">
        <is>
          <t>24-PC-34975</t>
        </is>
      </c>
      <c r="B174" s="4" t="inlineStr">
        <is>
          <t>Foxglove Fiber Route GIS Mapping</t>
        </is>
      </c>
      <c r="C174" s="4" t="inlineStr">
        <is>
          <t>In Progress</t>
        </is>
      </c>
      <c r="D174" s="4" t="inlineStr">
        <is>
          <t>Fixed fee</t>
        </is>
      </c>
      <c r="E174" s="4" t="inlineStr">
        <is>
          <t>Gulf Coast West</t>
        </is>
      </c>
      <c r="F174" s="4" t="inlineStr">
        <is>
          <t>Bernard Erickson</t>
        </is>
      </c>
      <c r="G174" s="5" t="n">
        <v>205900</v>
      </c>
      <c r="H174" s="5" t="n">
        <v>175159.13</v>
      </c>
      <c r="I174" s="5" t="n">
        <v>175159.13</v>
      </c>
      <c r="J174" s="5" t="n">
        <v>181192</v>
      </c>
      <c r="K174" s="5" t="n">
        <v>181192</v>
      </c>
      <c r="L174" s="5" t="n">
        <v>0</v>
      </c>
      <c r="M174" s="5" t="n">
        <v>154132.44</v>
      </c>
      <c r="N174" s="5" t="n">
        <v>27059.56</v>
      </c>
      <c r="O174" s="5" t="n">
        <v>27059.56</v>
      </c>
      <c r="P174" s="4" t="n"/>
      <c r="Q174" s="6" t="n">
        <v>0.851</v>
      </c>
      <c r="R174" s="6" t="n">
        <v>0.8507</v>
      </c>
    </row>
    <row r="175">
      <c r="A175" s="4" t="inlineStr">
        <is>
          <t>24-PC-35267</t>
        </is>
      </c>
      <c r="B175" s="4" t="inlineStr">
        <is>
          <t>Falcon Mesa Trail - Phase II Testing</t>
        </is>
      </c>
      <c r="C175" s="4" t="inlineStr">
        <is>
          <t>Final Reporting/Review</t>
        </is>
      </c>
      <c r="D175" s="4" t="inlineStr">
        <is>
          <t>Fixed fee</t>
        </is>
      </c>
      <c r="E175" s="4" t="inlineStr">
        <is>
          <t>Gulf Coast</t>
        </is>
      </c>
      <c r="F175" s="4" t="inlineStr">
        <is>
          <t>Sean Jennings</t>
        </is>
      </c>
      <c r="G175" s="5" t="n">
        <v>56700</v>
      </c>
      <c r="H175" s="5" t="n">
        <v>33226.2</v>
      </c>
      <c r="I175" s="5" t="n">
        <v>33226.2</v>
      </c>
      <c r="J175" s="5" t="n">
        <v>42581.7</v>
      </c>
      <c r="K175" s="5" t="n">
        <v>42581.7</v>
      </c>
      <c r="L175" s="5" t="n">
        <v>0</v>
      </c>
      <c r="M175" s="5" t="n">
        <v>24952.14</v>
      </c>
      <c r="N175" s="5" t="n">
        <v>17629.56</v>
      </c>
      <c r="O175" s="5" t="n">
        <v>17629.56</v>
      </c>
      <c r="P175" s="4" t="n"/>
      <c r="Q175" s="6" t="n">
        <v>0.586</v>
      </c>
      <c r="R175" s="6" t="n">
        <v>0.586</v>
      </c>
    </row>
    <row r="176">
      <c r="A176" s="4" t="inlineStr">
        <is>
          <t>24-PC-35412</t>
        </is>
      </c>
      <c r="B176" s="4" t="inlineStr">
        <is>
          <t>Sumac Ridge Reservoir - Historic Resources Evaluation</t>
        </is>
      </c>
      <c r="C176" s="4" t="inlineStr">
        <is>
          <t>In Progress</t>
        </is>
      </c>
      <c r="D176" s="4" t="inlineStr">
        <is>
          <t>Time and material</t>
        </is>
      </c>
      <c r="E176" s="4" t="inlineStr">
        <is>
          <t>High Desert</t>
        </is>
      </c>
      <c r="F176" s="4" t="inlineStr">
        <is>
          <t>Kathy Hurley</t>
        </is>
      </c>
      <c r="G176" s="5" t="n">
        <v>301200</v>
      </c>
      <c r="H176" s="5" t="n">
        <v>204816</v>
      </c>
      <c r="I176" s="5" t="n">
        <v>204816</v>
      </c>
      <c r="J176" s="5" t="n">
        <v>217496.52</v>
      </c>
      <c r="K176" s="5" t="n">
        <v>217496.52</v>
      </c>
      <c r="L176" s="5" t="n">
        <v>0</v>
      </c>
      <c r="M176" s="5" t="n">
        <v>196030.1</v>
      </c>
      <c r="N176" s="5" t="n">
        <v>21466.41999999998</v>
      </c>
      <c r="O176" s="5" t="n">
        <v>21466.41999999998</v>
      </c>
      <c r="P176" s="4" t="n"/>
      <c r="Q176" s="6" t="n">
        <v>0.68</v>
      </c>
      <c r="R176" s="6" t="n">
        <v>0.9013</v>
      </c>
    </row>
    <row r="177">
      <c r="A177" s="4" t="inlineStr">
        <is>
          <t>24-PC-35474</t>
        </is>
      </c>
      <c r="B177" s="4" t="inlineStr">
        <is>
          <t>Larkspur Curation</t>
        </is>
      </c>
      <c r="C177" s="4" t="inlineStr">
        <is>
          <t>In Progress</t>
        </is>
      </c>
      <c r="D177" s="4" t="inlineStr">
        <is>
          <t>Fixed fee</t>
        </is>
      </c>
      <c r="E177" s="4" t="inlineStr">
        <is>
          <t>High Desert</t>
        </is>
      </c>
      <c r="F177" s="4" t="inlineStr">
        <is>
          <t>Eileen Poole</t>
        </is>
      </c>
      <c r="G177" s="5" t="n">
        <v>369600</v>
      </c>
      <c r="H177" s="5" t="n">
        <v>284148.48</v>
      </c>
      <c r="I177" s="5" t="n">
        <v>284148.48</v>
      </c>
      <c r="J177" s="5" t="n">
        <v>278295.85</v>
      </c>
      <c r="K177" s="5" t="n">
        <v>215699.64</v>
      </c>
      <c r="L177" s="5" t="n">
        <v>62596.21</v>
      </c>
      <c r="M177" s="5" t="n">
        <v>213962.17</v>
      </c>
      <c r="N177" s="5" t="n">
        <v>64333.67999999996</v>
      </c>
      <c r="O177" s="5" t="n">
        <v>1737.470000000001</v>
      </c>
      <c r="P177" s="4" t="n"/>
      <c r="Q177" s="6" t="n">
        <v>0.769</v>
      </c>
      <c r="R177" s="6" t="n">
        <v>0.7688</v>
      </c>
    </row>
    <row r="178">
      <c r="A178" s="4" t="inlineStr">
        <is>
          <t>24-PC-35559</t>
        </is>
      </c>
      <c r="B178" s="4" t="inlineStr">
        <is>
          <t>Phase III: Fern Valley Battery Storage Curation</t>
        </is>
      </c>
      <c r="C178" s="4" t="inlineStr">
        <is>
          <t>Final Reporting/Review</t>
        </is>
      </c>
      <c r="D178" s="4" t="inlineStr">
        <is>
          <t>Fixed fee</t>
        </is>
      </c>
      <c r="E178" s="4" t="inlineStr">
        <is>
          <t>High Desert</t>
        </is>
      </c>
      <c r="F178" s="4" t="inlineStr">
        <is>
          <t>Eileen Poole</t>
        </is>
      </c>
      <c r="G178" s="5" t="n">
        <v>218200</v>
      </c>
      <c r="H178" s="5" t="n">
        <v>185797.3</v>
      </c>
      <c r="I178" s="5" t="n">
        <v>185797.3</v>
      </c>
      <c r="J178" s="5" t="n">
        <v>144252.02</v>
      </c>
      <c r="K178" s="5" t="n">
        <v>144252.02</v>
      </c>
      <c r="L178" s="5" t="n">
        <v>0</v>
      </c>
      <c r="M178" s="5" t="n">
        <v>122823.72</v>
      </c>
      <c r="N178" s="5" t="n">
        <v>21428.29999999999</v>
      </c>
      <c r="O178" s="5" t="n">
        <v>21428.29999999999</v>
      </c>
      <c r="P178" s="4" t="n"/>
      <c r="Q178" s="6" t="n">
        <v>0.852</v>
      </c>
      <c r="R178" s="6" t="n">
        <v>0.8515</v>
      </c>
    </row>
    <row r="179">
      <c r="A179" s="4" t="inlineStr">
        <is>
          <t>24-PC-35586</t>
        </is>
      </c>
      <c r="B179" s="4" t="inlineStr">
        <is>
          <t>Quail Run Harbor Dredging - Data Recovery</t>
        </is>
      </c>
      <c r="C179" s="4" t="inlineStr">
        <is>
          <t>In Progress</t>
        </is>
      </c>
      <c r="D179" s="4" t="inlineStr">
        <is>
          <t>Fixed fee</t>
        </is>
      </c>
      <c r="E179" s="4" t="inlineStr">
        <is>
          <t>High Desert</t>
        </is>
      </c>
      <c r="F179" s="4" t="inlineStr">
        <is>
          <t>Eileen Poole</t>
        </is>
      </c>
      <c r="G179" s="5" t="n">
        <v>119200</v>
      </c>
      <c r="H179" s="5" t="n">
        <v>90150.96000000001</v>
      </c>
      <c r="I179" s="5" t="n">
        <v>90150.96000000001</v>
      </c>
      <c r="J179" s="5" t="n">
        <v>88243.75999999999</v>
      </c>
      <c r="K179" s="5" t="n">
        <v>88243.75999999999</v>
      </c>
      <c r="L179" s="5" t="n">
        <v>0</v>
      </c>
      <c r="M179" s="5" t="n">
        <v>66735.14</v>
      </c>
      <c r="N179" s="5" t="n">
        <v>21508.62</v>
      </c>
      <c r="O179" s="5" t="n">
        <v>21508.62</v>
      </c>
      <c r="P179" s="4" t="n"/>
      <c r="Q179" s="6" t="n">
        <v>0.756</v>
      </c>
      <c r="R179" s="6" t="n">
        <v>0.7563</v>
      </c>
    </row>
    <row r="180">
      <c r="A180" s="4" t="inlineStr">
        <is>
          <t>24-PC-35661</t>
        </is>
      </c>
      <c r="B180" s="4" t="inlineStr">
        <is>
          <t>On-Call: Willow Springs Reservoir Archaeological Testing</t>
        </is>
      </c>
      <c r="C180" s="4" t="inlineStr">
        <is>
          <t>In Progress</t>
        </is>
      </c>
      <c r="D180" s="4" t="inlineStr">
        <is>
          <t>Time and material</t>
        </is>
      </c>
      <c r="E180" s="4" t="inlineStr">
        <is>
          <t>High Desert</t>
        </is>
      </c>
      <c r="F180" s="4" t="inlineStr">
        <is>
          <t>Kathy Hurley</t>
        </is>
      </c>
      <c r="G180" s="5" t="n">
        <v>69900</v>
      </c>
      <c r="H180" s="5" t="n">
        <v>69900</v>
      </c>
      <c r="I180" s="5" t="n">
        <v>66597.48</v>
      </c>
      <c r="J180" s="5" t="n">
        <v>49013.31</v>
      </c>
      <c r="K180" s="5" t="n">
        <v>40696.6</v>
      </c>
      <c r="L180" s="5" t="n">
        <v>8316.709999999999</v>
      </c>
      <c r="M180" s="5" t="n">
        <v>53862.59</v>
      </c>
      <c r="N180" s="5" t="n">
        <v>-4849.279999999999</v>
      </c>
      <c r="O180" s="5" t="n">
        <v>-13165.99</v>
      </c>
      <c r="P180" s="4" t="n"/>
      <c r="Q180" s="6" t="n">
        <v>1</v>
      </c>
      <c r="R180" s="6" t="n">
        <v>1.0989</v>
      </c>
    </row>
    <row r="181">
      <c r="A181" s="4" t="inlineStr">
        <is>
          <t>24-PC-35872</t>
        </is>
      </c>
      <c r="B181" s="4" t="inlineStr">
        <is>
          <t>Wren Hollow Cultural Resources Monitoring</t>
        </is>
      </c>
      <c r="C181" s="4" t="inlineStr">
        <is>
          <t>In Progress</t>
        </is>
      </c>
      <c r="D181" s="4" t="inlineStr">
        <is>
          <t>Time and material</t>
        </is>
      </c>
      <c r="E181" s="4" t="inlineStr">
        <is>
          <t>High Desert</t>
        </is>
      </c>
      <c r="F181" s="4" t="inlineStr">
        <is>
          <t>Kathy Hurley</t>
        </is>
      </c>
      <c r="G181" s="5" t="n">
        <v>225100</v>
      </c>
      <c r="H181" s="5" t="n">
        <v>200102.05</v>
      </c>
      <c r="I181" s="5" t="n">
        <v>200102.05</v>
      </c>
      <c r="J181" s="5" t="n">
        <v>153743.3</v>
      </c>
      <c r="K181" s="5" t="n">
        <v>153743.3</v>
      </c>
      <c r="L181" s="5" t="n">
        <v>0</v>
      </c>
      <c r="M181" s="5" t="n">
        <v>140872.8</v>
      </c>
      <c r="N181" s="5" t="n">
        <v>12870.5</v>
      </c>
      <c r="O181" s="5" t="n">
        <v>12870.5</v>
      </c>
      <c r="P181" s="4" t="n"/>
      <c r="Q181" s="6" t="n">
        <v>0.889</v>
      </c>
      <c r="R181" s="6" t="n">
        <v>0.9163</v>
      </c>
    </row>
    <row r="182">
      <c r="A182" s="4" t="inlineStr">
        <is>
          <t>24-PC-36099</t>
        </is>
      </c>
      <c r="B182" s="4" t="inlineStr">
        <is>
          <t>Copper Flats Rail Siding - Built Environment Survey</t>
        </is>
      </c>
      <c r="C182" s="4" t="inlineStr">
        <is>
          <t>In Progress</t>
        </is>
      </c>
      <c r="D182" s="4" t="inlineStr">
        <is>
          <t>Fixed fee</t>
        </is>
      </c>
      <c r="E182" s="4" t="inlineStr">
        <is>
          <t>High Desert</t>
        </is>
      </c>
      <c r="F182" s="4" t="inlineStr">
        <is>
          <t>Eileen Poole</t>
        </is>
      </c>
      <c r="G182" s="5" t="n">
        <v>12900</v>
      </c>
      <c r="H182" s="5" t="n">
        <v>10859.22</v>
      </c>
      <c r="I182" s="5" t="n">
        <v>10859.22</v>
      </c>
      <c r="J182" s="5" t="n">
        <v>9094.5</v>
      </c>
      <c r="K182" s="5" t="n">
        <v>9094.5</v>
      </c>
      <c r="L182" s="5" t="n">
        <v>0</v>
      </c>
      <c r="M182" s="5" t="n">
        <v>7655.43</v>
      </c>
      <c r="N182" s="5" t="n">
        <v>1439.07</v>
      </c>
      <c r="O182" s="5" t="n">
        <v>1439.07</v>
      </c>
      <c r="P182" s="4" t="n"/>
      <c r="Q182" s="6" t="n">
        <v>0.842</v>
      </c>
      <c r="R182" s="6" t="n">
        <v>0.8418</v>
      </c>
    </row>
    <row r="183">
      <c r="A183" s="4" t="inlineStr">
        <is>
          <t>24-PC-36146</t>
        </is>
      </c>
      <c r="B183" s="4" t="inlineStr">
        <is>
          <t>Sea Oat Bridge Replacement Phase II Testing</t>
        </is>
      </c>
      <c r="C183" s="4" t="inlineStr">
        <is>
          <t>Cost Tracking on Closed Project</t>
        </is>
      </c>
      <c r="D183" s="4" t="inlineStr">
        <is>
          <t>Fixed fee</t>
        </is>
      </c>
      <c r="E183" s="4" t="inlineStr">
        <is>
          <t>High Desert</t>
        </is>
      </c>
      <c r="F183" s="4" t="inlineStr">
        <is>
          <t>Kathy Hurley</t>
        </is>
      </c>
      <c r="G183" s="5" t="n">
        <v>58300</v>
      </c>
      <c r="H183" s="5" t="n">
        <v>58300</v>
      </c>
      <c r="I183" s="5" t="n">
        <v>58300</v>
      </c>
      <c r="J183" s="5" t="n">
        <v>39072.66</v>
      </c>
      <c r="K183" s="5" t="n">
        <v>39072.66</v>
      </c>
      <c r="L183" s="5" t="n">
        <v>0</v>
      </c>
      <c r="M183" s="5" t="n">
        <v>45518.79</v>
      </c>
      <c r="N183" s="5" t="n">
        <v>-6446.129999999997</v>
      </c>
      <c r="O183" s="5" t="n">
        <v>-6446.129999999997</v>
      </c>
      <c r="P183" s="4" t="n"/>
      <c r="Q183" s="6" t="n">
        <v>1</v>
      </c>
      <c r="R183" s="6" t="n">
        <v>1.165</v>
      </c>
    </row>
    <row r="184">
      <c r="A184" s="4" t="inlineStr">
        <is>
          <t>24-PC-36161</t>
        </is>
      </c>
      <c r="B184" s="4" t="inlineStr">
        <is>
          <t>Phase II: Saltgrass Mine Expansion Data Recovery</t>
        </is>
      </c>
      <c r="C184" s="4" t="inlineStr">
        <is>
          <t>In Progress</t>
        </is>
      </c>
      <c r="D184" s="4" t="inlineStr">
        <is>
          <t>Time and material</t>
        </is>
      </c>
      <c r="E184" s="4" t="inlineStr">
        <is>
          <t>High Desert</t>
        </is>
      </c>
      <c r="F184" s="4" t="inlineStr">
        <is>
          <t>Kathy Hurley</t>
        </is>
      </c>
      <c r="G184" s="5" t="n">
        <v>5700</v>
      </c>
      <c r="H184" s="5" t="n">
        <v>3876</v>
      </c>
      <c r="I184" s="5" t="n">
        <v>3876</v>
      </c>
      <c r="J184" s="5" t="n">
        <v>4244.79</v>
      </c>
      <c r="K184" s="5" t="n">
        <v>4244.79</v>
      </c>
      <c r="L184" s="5" t="n">
        <v>0</v>
      </c>
      <c r="M184" s="5" t="n">
        <v>3255.04</v>
      </c>
      <c r="N184" s="5" t="n">
        <v>989.75</v>
      </c>
      <c r="O184" s="5" t="n">
        <v>989.75</v>
      </c>
      <c r="P184" s="4" t="n"/>
      <c r="Q184" s="6" t="n">
        <v>0.68</v>
      </c>
      <c r="R184" s="6" t="n">
        <v>0.7668</v>
      </c>
    </row>
    <row r="185">
      <c r="A185" s="4" t="inlineStr">
        <is>
          <t>24-PC-36290</t>
        </is>
      </c>
      <c r="B185" s="4" t="inlineStr">
        <is>
          <t>Task Order 12: Lone Pine Battery Storage GIS Mapping</t>
        </is>
      </c>
      <c r="C185" s="4" t="inlineStr">
        <is>
          <t>Cost Tracking on Closed Project</t>
        </is>
      </c>
      <c r="D185" s="4" t="inlineStr">
        <is>
          <t>Fixed fee</t>
        </is>
      </c>
      <c r="E185" s="4" t="inlineStr">
        <is>
          <t>Island</t>
        </is>
      </c>
      <c r="F185" s="4" t="inlineStr">
        <is>
          <t>Rodney Mcguire</t>
        </is>
      </c>
      <c r="G185" s="5" t="n">
        <v>56300</v>
      </c>
      <c r="H185" s="5" t="n">
        <v>52077.5</v>
      </c>
      <c r="I185" s="5" t="n">
        <v>52077.5</v>
      </c>
      <c r="J185" s="5" t="n">
        <v>37721</v>
      </c>
      <c r="K185" s="5" t="n">
        <v>37721</v>
      </c>
      <c r="L185" s="5" t="n">
        <v>0</v>
      </c>
      <c r="M185" s="5" t="n">
        <v>34891.33</v>
      </c>
      <c r="N185" s="5" t="n">
        <v>2829.669999999998</v>
      </c>
      <c r="O185" s="5" t="n">
        <v>2829.669999999998</v>
      </c>
      <c r="P185" s="4" t="n"/>
      <c r="Q185" s="6" t="n">
        <v>0.925</v>
      </c>
      <c r="R185" s="6" t="n">
        <v>0.925</v>
      </c>
    </row>
    <row r="186">
      <c r="A186" s="4" t="inlineStr">
        <is>
          <t>24-PC-36620</t>
        </is>
      </c>
      <c r="B186" s="4" t="inlineStr">
        <is>
          <t>Silver Lake Cultural Resources Assessment</t>
        </is>
      </c>
      <c r="C186" s="4" t="inlineStr">
        <is>
          <t>In Progress</t>
        </is>
      </c>
      <c r="D186" s="4" t="inlineStr">
        <is>
          <t>Time and material</t>
        </is>
      </c>
      <c r="E186" s="4" t="inlineStr">
        <is>
          <t>Lakeshore</t>
        </is>
      </c>
      <c r="F186" s="4" t="inlineStr">
        <is>
          <t>Terrence Gillespie</t>
        </is>
      </c>
      <c r="G186" s="5" t="n">
        <v>368100</v>
      </c>
      <c r="H186" s="5" t="n">
        <v>290535</v>
      </c>
      <c r="I186" s="5" t="n">
        <v>290535</v>
      </c>
      <c r="J186" s="5" t="n">
        <v>252295.74</v>
      </c>
      <c r="K186" s="5" t="n">
        <v>252295.74</v>
      </c>
      <c r="L186" s="5" t="n">
        <v>0</v>
      </c>
      <c r="M186" s="5" t="n">
        <v>163066.37</v>
      </c>
      <c r="N186" s="5" t="n">
        <v>89229.37</v>
      </c>
      <c r="O186" s="5" t="n">
        <v>89229.37</v>
      </c>
      <c r="P186" s="4" t="n"/>
      <c r="Q186" s="6" t="n">
        <v>0.789</v>
      </c>
      <c r="R186" s="6" t="n">
        <v>0.6463</v>
      </c>
    </row>
    <row r="187">
      <c r="A187" s="4" t="inlineStr">
        <is>
          <t>24-PC-36932</t>
        </is>
      </c>
      <c r="B187" s="4" t="inlineStr">
        <is>
          <t>Badger Hollow Canal Lining - Section 106 Consultation</t>
        </is>
      </c>
      <c r="C187" s="4" t="inlineStr">
        <is>
          <t>Final Reporting/Review</t>
        </is>
      </c>
      <c r="D187" s="4" t="inlineStr">
        <is>
          <t>Time and material</t>
        </is>
      </c>
      <c r="E187" s="4" t="inlineStr">
        <is>
          <t>Hill Country</t>
        </is>
      </c>
      <c r="F187" s="4" t="inlineStr">
        <is>
          <t>Marcus Shea</t>
        </is>
      </c>
      <c r="G187" s="5" t="n">
        <v>12200</v>
      </c>
      <c r="H187" s="5" t="n">
        <v>9992.5</v>
      </c>
      <c r="I187" s="5" t="n">
        <v>9992.5</v>
      </c>
      <c r="J187" s="5" t="n">
        <v>7733.58</v>
      </c>
      <c r="K187" s="5" t="n">
        <v>7733.58</v>
      </c>
      <c r="L187" s="5" t="n">
        <v>0</v>
      </c>
      <c r="M187" s="5" t="n">
        <v>6430.16</v>
      </c>
      <c r="N187" s="5" t="n">
        <v>1303.42</v>
      </c>
      <c r="O187" s="5" t="n">
        <v>1303.42</v>
      </c>
      <c r="P187" s="4" t="n"/>
      <c r="Q187" s="6" t="n">
        <v>0.819</v>
      </c>
      <c r="R187" s="6" t="n">
        <v>0.8315</v>
      </c>
    </row>
    <row r="188">
      <c r="A188" s="4" t="inlineStr">
        <is>
          <t>24-PC-36978</t>
        </is>
      </c>
      <c r="B188" s="4" t="inlineStr">
        <is>
          <t>Slate Ridge Water Main Archaeological Testing</t>
        </is>
      </c>
      <c r="C188" s="4" t="inlineStr">
        <is>
          <t>In Progress</t>
        </is>
      </c>
      <c r="D188" s="4" t="inlineStr">
        <is>
          <t>Fixed fee</t>
        </is>
      </c>
      <c r="E188" s="4" t="inlineStr">
        <is>
          <t>Hill Country</t>
        </is>
      </c>
      <c r="F188" s="4" t="inlineStr">
        <is>
          <t>Glen Delacruz</t>
        </is>
      </c>
      <c r="G188" s="5" t="n">
        <v>141000</v>
      </c>
      <c r="H188" s="5" t="n">
        <v>141000</v>
      </c>
      <c r="I188" s="5" t="n">
        <v>141000</v>
      </c>
      <c r="J188" s="5" t="n">
        <v>113970.3</v>
      </c>
      <c r="K188" s="5" t="n">
        <v>113970.3</v>
      </c>
      <c r="L188" s="5" t="n">
        <v>0</v>
      </c>
      <c r="M188" s="5" t="n">
        <v>138124.06</v>
      </c>
      <c r="N188" s="5" t="n">
        <v>-24153.75999999999</v>
      </c>
      <c r="O188" s="5" t="n">
        <v>-24153.75999999999</v>
      </c>
      <c r="P188" s="4" t="n"/>
      <c r="Q188" s="6" t="n">
        <v>1</v>
      </c>
      <c r="R188" s="6" t="n">
        <v>1.2119</v>
      </c>
    </row>
    <row r="189">
      <c r="A189" s="4" t="inlineStr">
        <is>
          <t>24-PC-37107</t>
        </is>
      </c>
      <c r="B189" s="4" t="inlineStr">
        <is>
          <t>Hawk Point Mixed-Use Development Maritime Remote Sensing Survey</t>
        </is>
      </c>
      <c r="C189" s="4" t="inlineStr">
        <is>
          <t>Final Reporting/Review</t>
        </is>
      </c>
      <c r="D189" s="4" t="inlineStr">
        <is>
          <t>Fixed fee</t>
        </is>
      </c>
      <c r="E189" s="4" t="inlineStr">
        <is>
          <t>Hill Country</t>
        </is>
      </c>
      <c r="F189" s="4" t="inlineStr">
        <is>
          <t>Gail Meza</t>
        </is>
      </c>
      <c r="G189" s="5" t="n">
        <v>259400</v>
      </c>
      <c r="H189" s="5" t="n">
        <v>176106.66</v>
      </c>
      <c r="I189" s="5" t="n">
        <v>176106.66</v>
      </c>
      <c r="J189" s="5" t="n">
        <v>186117.89</v>
      </c>
      <c r="K189" s="5" t="n">
        <v>175095.48</v>
      </c>
      <c r="L189" s="5" t="n">
        <v>11022.41</v>
      </c>
      <c r="M189" s="5" t="n">
        <v>126346.85</v>
      </c>
      <c r="N189" s="5" t="n">
        <v>59771.04000000001</v>
      </c>
      <c r="O189" s="5" t="n">
        <v>48748.63</v>
      </c>
      <c r="P189" s="4" t="n"/>
      <c r="Q189" s="6" t="n">
        <v>0.679</v>
      </c>
      <c r="R189" s="6" t="n">
        <v>0.6788999999999999</v>
      </c>
    </row>
    <row r="190">
      <c r="A190" s="4" t="inlineStr">
        <is>
          <t>24-PC-37125</t>
        </is>
      </c>
      <c r="B190" s="4" t="inlineStr">
        <is>
          <t>Task Order 3: Elk Meadow Cell Tower Phase II Testing</t>
        </is>
      </c>
      <c r="C190" s="4" t="inlineStr">
        <is>
          <t>In Progress</t>
        </is>
      </c>
      <c r="D190" s="4" t="inlineStr">
        <is>
          <t>Fixed fee</t>
        </is>
      </c>
      <c r="E190" s="4" t="inlineStr">
        <is>
          <t>Hill Country</t>
        </is>
      </c>
      <c r="F190" s="4" t="inlineStr">
        <is>
          <t>Gail Meza</t>
        </is>
      </c>
      <c r="G190" s="5" t="n">
        <v>1259200</v>
      </c>
      <c r="H190" s="5" t="n">
        <v>928785.92</v>
      </c>
      <c r="I190" s="5" t="n">
        <v>928785.92</v>
      </c>
      <c r="J190" s="5" t="n">
        <v>853989.4399999999</v>
      </c>
      <c r="K190" s="5" t="n">
        <v>853989.4399999999</v>
      </c>
      <c r="L190" s="5" t="n">
        <v>0</v>
      </c>
      <c r="M190" s="5" t="n">
        <v>629919.62</v>
      </c>
      <c r="N190" s="5" t="n">
        <v>224069.8199999999</v>
      </c>
      <c r="O190" s="5" t="n">
        <v>224069.8199999999</v>
      </c>
      <c r="P190" s="4" t="n"/>
      <c r="Q190" s="6" t="n">
        <v>0.738</v>
      </c>
      <c r="R190" s="6" t="n">
        <v>0.7376</v>
      </c>
    </row>
    <row r="191">
      <c r="A191" s="4" t="inlineStr">
        <is>
          <t>24-PC-37167</t>
        </is>
      </c>
      <c r="B191" s="4" t="inlineStr">
        <is>
          <t>Saltgrass Curation</t>
        </is>
      </c>
      <c r="C191" s="4" t="inlineStr">
        <is>
          <t>Lab/Curation</t>
        </is>
      </c>
      <c r="D191" s="4" t="inlineStr">
        <is>
          <t>Time and material</t>
        </is>
      </c>
      <c r="E191" s="4" t="inlineStr">
        <is>
          <t>Hill Country</t>
        </is>
      </c>
      <c r="F191" s="4" t="inlineStr">
        <is>
          <t>Marcus Shea</t>
        </is>
      </c>
      <c r="G191" s="5" t="n">
        <v>65600</v>
      </c>
      <c r="H191" s="5" t="n">
        <v>44608</v>
      </c>
      <c r="I191" s="5" t="n">
        <v>44608</v>
      </c>
      <c r="J191" s="5" t="n">
        <v>48603.04</v>
      </c>
      <c r="K191" s="5" t="n">
        <v>48603.04</v>
      </c>
      <c r="L191" s="5" t="n">
        <v>0</v>
      </c>
      <c r="M191" s="5" t="n">
        <v>33605.6</v>
      </c>
      <c r="N191" s="5" t="n">
        <v>14997.44</v>
      </c>
      <c r="O191" s="5" t="n">
        <v>14997.44</v>
      </c>
      <c r="P191" s="4" t="n"/>
      <c r="Q191" s="6" t="n">
        <v>0.68</v>
      </c>
      <c r="R191" s="6" t="n">
        <v>0.6914</v>
      </c>
    </row>
    <row r="192">
      <c r="A192" s="4" t="inlineStr">
        <is>
          <t>24-PC-37235</t>
        </is>
      </c>
      <c r="B192" s="4" t="inlineStr">
        <is>
          <t>Coyote Springs Bridge Replacement - Phase II Testing</t>
        </is>
      </c>
      <c r="C192" s="4" t="inlineStr">
        <is>
          <t>In Progress</t>
        </is>
      </c>
      <c r="D192" s="4" t="inlineStr">
        <is>
          <t>Time and material</t>
        </is>
      </c>
      <c r="E192" s="4" t="inlineStr">
        <is>
          <t>Hill Country</t>
        </is>
      </c>
      <c r="F192" s="4" t="inlineStr">
        <is>
          <t>Samuel Wilkerson</t>
        </is>
      </c>
      <c r="G192" s="5" t="n">
        <v>67000</v>
      </c>
      <c r="H192" s="5" t="n">
        <v>51564</v>
      </c>
      <c r="I192" s="5" t="n">
        <v>51564</v>
      </c>
      <c r="J192" s="5" t="n">
        <v>40709.2</v>
      </c>
      <c r="K192" s="5" t="n">
        <v>40709.2</v>
      </c>
      <c r="L192" s="5" t="n">
        <v>0</v>
      </c>
      <c r="M192" s="5" t="n">
        <v>34240.46</v>
      </c>
      <c r="N192" s="5" t="n">
        <v>6468.739999999998</v>
      </c>
      <c r="O192" s="5" t="n">
        <v>6468.739999999998</v>
      </c>
      <c r="P192" s="4" t="n"/>
      <c r="Q192" s="6" t="n">
        <v>0.77</v>
      </c>
      <c r="R192" s="6" t="n">
        <v>0.8411</v>
      </c>
    </row>
    <row r="193">
      <c r="A193" s="4" t="inlineStr">
        <is>
          <t>24-PC-37266</t>
        </is>
      </c>
      <c r="B193" s="4" t="inlineStr">
        <is>
          <t>Granite Pass Cell Tower Phase I Survey</t>
        </is>
      </c>
      <c r="C193" s="4" t="inlineStr">
        <is>
          <t>In Progress</t>
        </is>
      </c>
      <c r="D193" s="4" t="inlineStr">
        <is>
          <t>Time and material</t>
        </is>
      </c>
      <c r="E193" s="4" t="inlineStr">
        <is>
          <t>Hill Country</t>
        </is>
      </c>
      <c r="F193" s="4" t="inlineStr">
        <is>
          <t>Marcus Shea</t>
        </is>
      </c>
      <c r="G193" s="5" t="n">
        <v>41400</v>
      </c>
      <c r="H193" s="5" t="n">
        <v>29169.9</v>
      </c>
      <c r="I193" s="5" t="n">
        <v>29169.9</v>
      </c>
      <c r="J193" s="5" t="n">
        <v>24587.46</v>
      </c>
      <c r="K193" s="5" t="n">
        <v>24587.46</v>
      </c>
      <c r="L193" s="5" t="n">
        <v>0</v>
      </c>
      <c r="M193" s="5" t="n">
        <v>17096.42</v>
      </c>
      <c r="N193" s="5" t="n">
        <v>7491.040000000001</v>
      </c>
      <c r="O193" s="5" t="n">
        <v>7491.040000000001</v>
      </c>
      <c r="P193" s="4" t="n"/>
      <c r="Q193" s="6" t="n">
        <v>0.705</v>
      </c>
      <c r="R193" s="6" t="n">
        <v>0.6953</v>
      </c>
    </row>
    <row r="194">
      <c r="A194" s="4" t="inlineStr">
        <is>
          <t>24-PC-37336</t>
        </is>
      </c>
      <c r="B194" s="4" t="inlineStr">
        <is>
          <t>Kestrel Butte Reservoir - Historic Resources Evaluation</t>
        </is>
      </c>
      <c r="C194" s="4" t="inlineStr">
        <is>
          <t>In Progress</t>
        </is>
      </c>
      <c r="D194" s="4" t="inlineStr">
        <is>
          <t>Fixed fee</t>
        </is>
      </c>
      <c r="E194" s="4" t="inlineStr">
        <is>
          <t>Hill Country</t>
        </is>
      </c>
      <c r="F194" s="4" t="inlineStr">
        <is>
          <t>Theresa Fernandez</t>
        </is>
      </c>
      <c r="G194" s="5" t="n">
        <v>298500</v>
      </c>
      <c r="H194" s="5" t="n">
        <v>213069.3</v>
      </c>
      <c r="I194" s="5" t="n">
        <v>213069.3</v>
      </c>
      <c r="J194" s="5" t="n">
        <v>243904.35</v>
      </c>
      <c r="K194" s="5" t="n">
        <v>243904.35</v>
      </c>
      <c r="L194" s="5" t="n">
        <v>0</v>
      </c>
      <c r="M194" s="5" t="n">
        <v>174092.01</v>
      </c>
      <c r="N194" s="5" t="n">
        <v>69812.34</v>
      </c>
      <c r="O194" s="5" t="n">
        <v>69812.34</v>
      </c>
      <c r="P194" s="4" t="n"/>
      <c r="Q194" s="6" t="n">
        <v>0.714</v>
      </c>
      <c r="R194" s="6" t="n">
        <v>0.7138</v>
      </c>
    </row>
    <row r="195">
      <c r="A195" s="4" t="inlineStr">
        <is>
          <t>24-PC-37372</t>
        </is>
      </c>
      <c r="B195" s="4" t="inlineStr">
        <is>
          <t>Harbor View Harbor Dredging Paleontological Monitoring</t>
        </is>
      </c>
      <c r="C195" s="4" t="inlineStr">
        <is>
          <t>Final Reporting/Review</t>
        </is>
      </c>
      <c r="D195" s="4" t="inlineStr">
        <is>
          <t>Fixed fee</t>
        </is>
      </c>
      <c r="E195" s="4" t="inlineStr">
        <is>
          <t>Piedmont - Inactive</t>
        </is>
      </c>
      <c r="F195" s="4" t="inlineStr">
        <is>
          <t>Maria Parrish</t>
        </is>
      </c>
      <c r="G195" s="5" t="n">
        <v>272100</v>
      </c>
      <c r="H195" s="5" t="n">
        <v>244563.48</v>
      </c>
      <c r="I195" s="5" t="n">
        <v>237896.12</v>
      </c>
      <c r="J195" s="5" t="n">
        <v>221924.76</v>
      </c>
      <c r="K195" s="5" t="n">
        <v>221924.76</v>
      </c>
      <c r="L195" s="5" t="n">
        <v>0</v>
      </c>
      <c r="M195" s="5" t="n">
        <v>199459.24</v>
      </c>
      <c r="N195" s="5" t="n">
        <v>22465.52000000002</v>
      </c>
      <c r="O195" s="5" t="n">
        <v>22465.52000000002</v>
      </c>
      <c r="P195" s="4" t="n"/>
      <c r="Q195" s="6" t="n">
        <v>0.899</v>
      </c>
      <c r="R195" s="6" t="n">
        <v>0.8988</v>
      </c>
    </row>
    <row r="196">
      <c r="A196" s="4" t="inlineStr">
        <is>
          <t>24-PC-37415</t>
        </is>
      </c>
      <c r="B196" s="4" t="inlineStr">
        <is>
          <t>Sage Flat Mine Expansion Maritime Remote Sensing Survey</t>
        </is>
      </c>
      <c r="C196" s="4" t="inlineStr">
        <is>
          <t>In Progress</t>
        </is>
      </c>
      <c r="D196" s="4" t="inlineStr">
        <is>
          <t>Fixed fee</t>
        </is>
      </c>
      <c r="E196" s="4" t="inlineStr">
        <is>
          <t>PIEDMONT - INACTIVE</t>
        </is>
      </c>
      <c r="F196" s="4" t="inlineStr">
        <is>
          <t>Megan Pineda</t>
        </is>
      </c>
      <c r="G196" s="5" t="n">
        <v>191000</v>
      </c>
      <c r="H196" s="5" t="n">
        <v>115994.3</v>
      </c>
      <c r="I196" s="5" t="n">
        <v>115994.3</v>
      </c>
      <c r="J196" s="5" t="n">
        <v>147948.6</v>
      </c>
      <c r="K196" s="5" t="n">
        <v>147948.6</v>
      </c>
      <c r="L196" s="5" t="n">
        <v>0</v>
      </c>
      <c r="M196" s="5" t="n">
        <v>89853.11</v>
      </c>
      <c r="N196" s="5" t="n">
        <v>58095.49000000001</v>
      </c>
      <c r="O196" s="5" t="n">
        <v>58095.49000000001</v>
      </c>
      <c r="P196" s="4" t="n"/>
      <c r="Q196" s="6" t="n">
        <v>0.607</v>
      </c>
      <c r="R196" s="6" t="n">
        <v>0.6073</v>
      </c>
    </row>
    <row r="197">
      <c r="A197" s="4" t="inlineStr">
        <is>
          <t>24-PC-37442</t>
        </is>
      </c>
      <c r="B197" s="4" t="inlineStr">
        <is>
          <t>Cedar Hollow Cultural Resources Monitoring</t>
        </is>
      </c>
      <c r="C197" s="4" t="inlineStr">
        <is>
          <t>In Progress</t>
        </is>
      </c>
      <c r="D197" s="4" t="inlineStr">
        <is>
          <t>Time and material</t>
        </is>
      </c>
      <c r="E197" s="4" t="inlineStr">
        <is>
          <t>PIEDMONT - INACTIVE</t>
        </is>
      </c>
      <c r="F197" s="4" t="inlineStr">
        <is>
          <t>Jody Chung</t>
        </is>
      </c>
      <c r="G197" s="5" t="n">
        <v>309400</v>
      </c>
      <c r="H197" s="5" t="n">
        <v>210392</v>
      </c>
      <c r="I197" s="5" t="n">
        <v>210392</v>
      </c>
      <c r="J197" s="5" t="n">
        <v>184093</v>
      </c>
      <c r="K197" s="5" t="n">
        <v>184093</v>
      </c>
      <c r="L197" s="5" t="n">
        <v>0</v>
      </c>
      <c r="M197" s="5" t="n">
        <v>149432.06</v>
      </c>
      <c r="N197" s="5" t="n">
        <v>34660.94</v>
      </c>
      <c r="O197" s="5" t="n">
        <v>34660.94</v>
      </c>
      <c r="P197" s="4" t="n"/>
      <c r="Q197" s="6" t="n">
        <v>0.68</v>
      </c>
      <c r="R197" s="6" t="n">
        <v>0.8117</v>
      </c>
    </row>
    <row r="198">
      <c r="A198" s="4" t="inlineStr">
        <is>
          <t>24-PC-37686</t>
        </is>
      </c>
      <c r="B198" s="4" t="inlineStr">
        <is>
          <t>Twin Buttes Mixed-Use Development Paleontological Monitoring</t>
        </is>
      </c>
      <c r="C198" s="4" t="inlineStr">
        <is>
          <t>In Progress</t>
        </is>
      </c>
      <c r="D198" s="4" t="inlineStr">
        <is>
          <t>Fixed fee</t>
        </is>
      </c>
      <c r="E198" s="4" t="inlineStr">
        <is>
          <t>Piedmont - Inactive</t>
        </is>
      </c>
      <c r="F198" s="4" t="inlineStr">
        <is>
          <t>Annette Vaughan</t>
        </is>
      </c>
      <c r="G198" s="5" t="n">
        <v>50600</v>
      </c>
      <c r="H198" s="5" t="n">
        <v>41385.74</v>
      </c>
      <c r="I198" s="5" t="n">
        <v>41385.74</v>
      </c>
      <c r="J198" s="5" t="n">
        <v>39155.85</v>
      </c>
      <c r="K198" s="5" t="n">
        <v>28376.76</v>
      </c>
      <c r="L198" s="5" t="n">
        <v>10779.09</v>
      </c>
      <c r="M198" s="5" t="n">
        <v>32027.2</v>
      </c>
      <c r="N198" s="5" t="n">
        <v>7128.649999999998</v>
      </c>
      <c r="O198" s="5" t="n">
        <v>-3650.440000000002</v>
      </c>
      <c r="P198" s="4" t="n"/>
      <c r="Q198" s="6" t="n">
        <v>0.8179999999999999</v>
      </c>
      <c r="R198" s="6" t="n">
        <v>0.8179</v>
      </c>
    </row>
    <row r="199">
      <c r="A199" s="4" t="inlineStr">
        <is>
          <t>24-PC-37823</t>
        </is>
      </c>
      <c r="B199" s="4" t="inlineStr">
        <is>
          <t>Granite Pass Pipeline Cultural Resources Monitoring</t>
        </is>
      </c>
      <c r="C199" s="4" t="inlineStr">
        <is>
          <t>Lab/Curation</t>
        </is>
      </c>
      <c r="D199" s="4" t="inlineStr">
        <is>
          <t>Fixed fee</t>
        </is>
      </c>
      <c r="E199" s="4" t="inlineStr">
        <is>
          <t>Piedmont - Inactive</t>
        </is>
      </c>
      <c r="F199" s="4" t="inlineStr">
        <is>
          <t>Jody Chung</t>
        </is>
      </c>
      <c r="G199" s="5" t="n">
        <v>28900</v>
      </c>
      <c r="H199" s="5" t="n">
        <v>21070.99</v>
      </c>
      <c r="I199" s="5" t="n">
        <v>21070.99</v>
      </c>
      <c r="J199" s="5" t="n">
        <v>21651.88</v>
      </c>
      <c r="K199" s="5" t="n">
        <v>21651.88</v>
      </c>
      <c r="L199" s="5" t="n">
        <v>0</v>
      </c>
      <c r="M199" s="5" t="n">
        <v>15787.12</v>
      </c>
      <c r="N199" s="5" t="n">
        <v>5864.76</v>
      </c>
      <c r="O199" s="5" t="n">
        <v>5864.76</v>
      </c>
      <c r="P199" s="4" t="n"/>
      <c r="Q199" s="6" t="n">
        <v>0.729</v>
      </c>
      <c r="R199" s="6" t="n">
        <v>0.7291</v>
      </c>
    </row>
    <row r="200">
      <c r="A200" s="4" t="inlineStr">
        <is>
          <t>24-PC-37942</t>
        </is>
      </c>
      <c r="B200" s="4" t="inlineStr">
        <is>
          <t>Task Order 39: Meadowlark Mine Expansion Curation</t>
        </is>
      </c>
      <c r="C200" s="4" t="inlineStr">
        <is>
          <t>Final Reporting/Review</t>
        </is>
      </c>
      <c r="D200" s="4" t="inlineStr">
        <is>
          <t>Time and material</t>
        </is>
      </c>
      <c r="E200" s="4" t="inlineStr">
        <is>
          <t>Piedmont - Inactive</t>
        </is>
      </c>
      <c r="F200" s="4" t="inlineStr">
        <is>
          <t>Annette Vaughan</t>
        </is>
      </c>
      <c r="G200" s="5" t="n">
        <v>241400</v>
      </c>
      <c r="H200" s="5" t="n">
        <v>199259.4</v>
      </c>
      <c r="I200" s="5" t="n">
        <v>199259.4</v>
      </c>
      <c r="J200" s="5" t="n">
        <v>173542.46</v>
      </c>
      <c r="K200" s="5" t="n">
        <v>173542.46</v>
      </c>
      <c r="L200" s="5" t="n">
        <v>0</v>
      </c>
      <c r="M200" s="5" t="n">
        <v>141494.45</v>
      </c>
      <c r="N200" s="5" t="n">
        <v>32048.00999999998</v>
      </c>
      <c r="O200" s="5" t="n">
        <v>32048.00999999998</v>
      </c>
      <c r="P200" s="4" t="n"/>
      <c r="Q200" s="6" t="n">
        <v>0.825</v>
      </c>
      <c r="R200" s="6" t="n">
        <v>0.8153</v>
      </c>
    </row>
    <row r="201">
      <c r="A201" s="4" t="inlineStr">
        <is>
          <t>24-PC-38054</t>
        </is>
      </c>
      <c r="B201" s="4" t="inlineStr">
        <is>
          <t>On-Call: Willow Springs Highway Widening GIS Mapping</t>
        </is>
      </c>
      <c r="C201" s="4" t="inlineStr">
        <is>
          <t>Final Reporting/Review</t>
        </is>
      </c>
      <c r="D201" s="4" t="inlineStr">
        <is>
          <t>Fixed fee</t>
        </is>
      </c>
      <c r="E201" s="4" t="inlineStr">
        <is>
          <t>Prairie</t>
        </is>
      </c>
      <c r="F201" s="4" t="inlineStr">
        <is>
          <t>Sherry Lloyd</t>
        </is>
      </c>
      <c r="G201" s="5" t="n">
        <v>60700</v>
      </c>
      <c r="H201" s="5" t="n">
        <v>41373.12</v>
      </c>
      <c r="I201" s="5" t="n">
        <v>41373.12</v>
      </c>
      <c r="J201" s="5" t="n">
        <v>51516.09</v>
      </c>
      <c r="K201" s="5" t="n">
        <v>51516.09</v>
      </c>
      <c r="L201" s="5" t="n">
        <v>0</v>
      </c>
      <c r="M201" s="5" t="n">
        <v>35113.87</v>
      </c>
      <c r="N201" s="5" t="n">
        <v>16402.21999999999</v>
      </c>
      <c r="O201" s="5" t="n">
        <v>16402.21999999999</v>
      </c>
      <c r="P201" s="4" t="n"/>
      <c r="Q201" s="6" t="n">
        <v>0.6820000000000001</v>
      </c>
      <c r="R201" s="6" t="n">
        <v>0.6816</v>
      </c>
    </row>
    <row r="202">
      <c r="A202" s="4" t="inlineStr">
        <is>
          <t>24-PC-38141</t>
        </is>
      </c>
      <c r="B202" s="4" t="inlineStr">
        <is>
          <t>Phase II: Willow Springs Airport Apron Cultural Resources Assessment</t>
        </is>
      </c>
      <c r="C202" s="4" t="inlineStr">
        <is>
          <t>In Progress</t>
        </is>
      </c>
      <c r="D202" s="4" t="inlineStr">
        <is>
          <t>Fixed fee</t>
        </is>
      </c>
      <c r="E202" s="4" t="inlineStr">
        <is>
          <t>Prairie</t>
        </is>
      </c>
      <c r="F202" s="4" t="inlineStr">
        <is>
          <t>Sherry Lloyd</t>
        </is>
      </c>
      <c r="G202" s="5" t="n">
        <v>132200</v>
      </c>
      <c r="H202" s="5" t="n">
        <v>121663.66</v>
      </c>
      <c r="I202" s="5" t="n">
        <v>121663.66</v>
      </c>
      <c r="J202" s="5" t="n">
        <v>95580.60000000001</v>
      </c>
      <c r="K202" s="5" t="n">
        <v>95580.60000000001</v>
      </c>
      <c r="L202" s="5" t="n">
        <v>0</v>
      </c>
      <c r="M202" s="5" t="n">
        <v>87961.2</v>
      </c>
      <c r="N202" s="5" t="n">
        <v>7619.400000000009</v>
      </c>
      <c r="O202" s="5" t="n">
        <v>7619.400000000009</v>
      </c>
      <c r="P202" s="4" t="n"/>
      <c r="Q202" s="6" t="n">
        <v>0.92</v>
      </c>
      <c r="R202" s="6" t="n">
        <v>0.9203</v>
      </c>
    </row>
    <row r="203">
      <c r="A203" s="4" t="inlineStr">
        <is>
          <t>24-PC-38374</t>
        </is>
      </c>
      <c r="B203" s="4" t="inlineStr">
        <is>
          <t>On-Call: Riverbend Highway Widening Archaeological Testing</t>
        </is>
      </c>
      <c r="C203" s="4" t="inlineStr">
        <is>
          <t>In Progress</t>
        </is>
      </c>
      <c r="D203" s="4" t="inlineStr">
        <is>
          <t>Time and material</t>
        </is>
      </c>
      <c r="E203" s="4" t="inlineStr">
        <is>
          <t>Prairie</t>
        </is>
      </c>
      <c r="F203" s="4" t="inlineStr">
        <is>
          <t>Sherry Lloyd</t>
        </is>
      </c>
      <c r="G203" s="5" t="n">
        <v>481100</v>
      </c>
      <c r="H203" s="5" t="n">
        <v>327148</v>
      </c>
      <c r="I203" s="5" t="n">
        <v>327148</v>
      </c>
      <c r="J203" s="5" t="n">
        <v>330082.71</v>
      </c>
      <c r="K203" s="5" t="n">
        <v>330082.71</v>
      </c>
      <c r="L203" s="5" t="n">
        <v>0</v>
      </c>
      <c r="M203" s="5" t="n">
        <v>229684.73</v>
      </c>
      <c r="N203" s="5" t="n">
        <v>100397.98</v>
      </c>
      <c r="O203" s="5" t="n">
        <v>100397.98</v>
      </c>
      <c r="P203" s="4" t="n"/>
      <c r="Q203" s="6" t="n">
        <v>0.68</v>
      </c>
      <c r="R203" s="6" t="n">
        <v>0.6958</v>
      </c>
    </row>
    <row r="204">
      <c r="A204" s="4" t="inlineStr">
        <is>
          <t>24-PC-38469</t>
        </is>
      </c>
      <c r="B204" s="4" t="inlineStr">
        <is>
          <t>Falcon Mesa Harbor Dredging - Built Environment Survey</t>
        </is>
      </c>
      <c r="C204" s="4" t="inlineStr">
        <is>
          <t>In Progress</t>
        </is>
      </c>
      <c r="D204" s="4" t="inlineStr">
        <is>
          <t>Fixed fee</t>
        </is>
      </c>
      <c r="E204" s="4" t="inlineStr">
        <is>
          <t>Red Rock</t>
        </is>
      </c>
      <c r="F204" s="4" t="inlineStr">
        <is>
          <t>Jeanette Chung</t>
        </is>
      </c>
      <c r="G204" s="5" t="n">
        <v>656700</v>
      </c>
      <c r="H204" s="5" t="n">
        <v>527658.45</v>
      </c>
      <c r="I204" s="5" t="n">
        <v>515845.1</v>
      </c>
      <c r="J204" s="5" t="n">
        <v>435290.48</v>
      </c>
      <c r="K204" s="5" t="n">
        <v>364918.68</v>
      </c>
      <c r="L204" s="5" t="n">
        <v>70371.8</v>
      </c>
      <c r="M204" s="5" t="n">
        <v>349739.21</v>
      </c>
      <c r="N204" s="5" t="n">
        <v>85551.26999999996</v>
      </c>
      <c r="O204" s="5" t="n">
        <v>15179.46999999997</v>
      </c>
      <c r="P204" s="4" t="n"/>
      <c r="Q204" s="6" t="n">
        <v>0.803</v>
      </c>
      <c r="R204" s="6" t="n">
        <v>0.8035</v>
      </c>
    </row>
    <row r="205">
      <c r="A205" s="4" t="inlineStr">
        <is>
          <t>24-PC-38486</t>
        </is>
      </c>
      <c r="B205" s="4" t="inlineStr">
        <is>
          <t>Kestrel Butte Phase I Survey</t>
        </is>
      </c>
      <c r="C205" s="4" t="inlineStr">
        <is>
          <t>In Progress</t>
        </is>
      </c>
      <c r="D205" s="4" t="inlineStr">
        <is>
          <t>Fixed fee</t>
        </is>
      </c>
      <c r="E205" s="4" t="inlineStr">
        <is>
          <t>Red Rock</t>
        </is>
      </c>
      <c r="F205" s="4" t="inlineStr">
        <is>
          <t>Jeanette Chung</t>
        </is>
      </c>
      <c r="G205" s="5" t="n">
        <v>153600</v>
      </c>
      <c r="H205" s="5" t="n">
        <v>153600</v>
      </c>
      <c r="I205" s="5" t="n">
        <v>153600</v>
      </c>
      <c r="J205" s="5" t="n">
        <v>105043.81</v>
      </c>
      <c r="K205" s="5" t="n">
        <v>77500.98</v>
      </c>
      <c r="L205" s="5" t="n">
        <v>27542.83</v>
      </c>
      <c r="M205" s="5" t="n">
        <v>119866.24</v>
      </c>
      <c r="N205" s="5" t="n">
        <v>-14822.43000000001</v>
      </c>
      <c r="O205" s="5" t="n">
        <v>-42365.26000000001</v>
      </c>
      <c r="P205" s="4" t="n"/>
      <c r="Q205" s="6" t="n">
        <v>1</v>
      </c>
      <c r="R205" s="6" t="n">
        <v>1.1411</v>
      </c>
    </row>
    <row r="206">
      <c r="A206" s="4" t="inlineStr">
        <is>
          <t>24-PC-38687</t>
        </is>
      </c>
      <c r="B206" s="4" t="inlineStr">
        <is>
          <t>Lantern Bay GIS Mapping</t>
        </is>
      </c>
      <c r="C206" s="4" t="inlineStr">
        <is>
          <t>In Progress</t>
        </is>
      </c>
      <c r="D206" s="4" t="inlineStr">
        <is>
          <t>Time and material</t>
        </is>
      </c>
      <c r="E206" s="4" t="inlineStr">
        <is>
          <t>Red Rock</t>
        </is>
      </c>
      <c r="F206" s="4" t="inlineStr">
        <is>
          <t>Javier Newman</t>
        </is>
      </c>
      <c r="G206" s="5" t="n">
        <v>68600</v>
      </c>
      <c r="H206" s="5" t="n">
        <v>46648</v>
      </c>
      <c r="I206" s="5" t="n">
        <v>46648</v>
      </c>
      <c r="J206" s="5" t="n">
        <v>49542.92</v>
      </c>
      <c r="K206" s="5" t="n">
        <v>49542.92</v>
      </c>
      <c r="L206" s="5" t="n">
        <v>0</v>
      </c>
      <c r="M206" s="5" t="n">
        <v>28559.72</v>
      </c>
      <c r="N206" s="5" t="n">
        <v>20983.2</v>
      </c>
      <c r="O206" s="5" t="n">
        <v>20983.2</v>
      </c>
      <c r="P206" s="4" t="n"/>
      <c r="Q206" s="6" t="n">
        <v>0.68</v>
      </c>
      <c r="R206" s="6" t="n">
        <v>0.5765</v>
      </c>
    </row>
    <row r="207">
      <c r="A207" s="4" t="inlineStr">
        <is>
          <t>24-PC-38790</t>
        </is>
      </c>
      <c r="B207" s="4" t="inlineStr">
        <is>
          <t>Twin Buttes Harbor Dredging Maritime Remote Sensing Survey</t>
        </is>
      </c>
      <c r="C207" s="4" t="inlineStr">
        <is>
          <t>Transferred Entity</t>
        </is>
      </c>
      <c r="D207" s="4" t="inlineStr">
        <is>
          <t>Fixed fee</t>
        </is>
      </c>
      <c r="E207" s="4" t="inlineStr">
        <is>
          <t>Red Rock</t>
        </is>
      </c>
      <c r="F207" s="4" t="inlineStr">
        <is>
          <t>Marisa Odom</t>
        </is>
      </c>
      <c r="G207" s="5" t="n">
        <v>168200</v>
      </c>
      <c r="H207" s="5" t="n">
        <v>168200</v>
      </c>
      <c r="I207" s="5" t="n">
        <v>168200</v>
      </c>
      <c r="J207" s="5" t="n">
        <v>130489.56</v>
      </c>
      <c r="K207" s="5" t="n">
        <v>130489.56</v>
      </c>
      <c r="L207" s="5" t="n">
        <v>0</v>
      </c>
      <c r="M207" s="5" t="n">
        <v>132230.67</v>
      </c>
      <c r="N207" s="5" t="n">
        <v>-1741.110000000015</v>
      </c>
      <c r="O207" s="5" t="n">
        <v>-1741.110000000015</v>
      </c>
      <c r="P207" s="4" t="n"/>
      <c r="Q207" s="6" t="n">
        <v>1</v>
      </c>
      <c r="R207" s="6" t="n">
        <v>1.0133</v>
      </c>
    </row>
    <row r="208">
      <c r="A208" s="4" t="inlineStr">
        <is>
          <t>24-PC-39091</t>
        </is>
      </c>
      <c r="B208" s="4" t="inlineStr">
        <is>
          <t>Phase I: Dove Canyon Battery Storage Class III Survey</t>
        </is>
      </c>
      <c r="C208" s="4" t="inlineStr">
        <is>
          <t>In Progress</t>
        </is>
      </c>
      <c r="D208" s="4" t="inlineStr">
        <is>
          <t>Fixed fee</t>
        </is>
      </c>
      <c r="E208" s="4" t="inlineStr">
        <is>
          <t>Red Rock</t>
        </is>
      </c>
      <c r="F208" s="4" t="inlineStr">
        <is>
          <t>Shelia Horne</t>
        </is>
      </c>
      <c r="G208" s="5" t="n">
        <v>100200</v>
      </c>
      <c r="H208" s="5" t="n">
        <v>100200</v>
      </c>
      <c r="I208" s="5" t="n">
        <v>93737.19</v>
      </c>
      <c r="J208" s="5" t="n">
        <v>72685.08</v>
      </c>
      <c r="K208" s="5" t="n">
        <v>72685.08</v>
      </c>
      <c r="L208" s="5" t="n">
        <v>0</v>
      </c>
      <c r="M208" s="5" t="n">
        <v>103671</v>
      </c>
      <c r="N208" s="5" t="n">
        <v>-30985.92</v>
      </c>
      <c r="O208" s="5" t="n">
        <v>-30985.92</v>
      </c>
      <c r="P208" s="4" t="n"/>
      <c r="Q208" s="6" t="n">
        <v>1</v>
      </c>
      <c r="R208" s="6" t="n">
        <v>1.4263</v>
      </c>
    </row>
    <row r="209">
      <c r="A209" s="4" t="inlineStr">
        <is>
          <t>24-PC-39206</t>
        </is>
      </c>
      <c r="B209" s="4" t="inlineStr">
        <is>
          <t>Task Order 19: Plover Cove Water Main GIS Mapping</t>
        </is>
      </c>
      <c r="C209" s="4" t="inlineStr">
        <is>
          <t>In Progress</t>
        </is>
      </c>
      <c r="D209" s="4" t="inlineStr">
        <is>
          <t>Time and material</t>
        </is>
      </c>
      <c r="E209" s="4" t="inlineStr">
        <is>
          <t>Red Rock</t>
        </is>
      </c>
      <c r="F209" s="4" t="inlineStr">
        <is>
          <t>Lydia Cisneros</t>
        </is>
      </c>
      <c r="G209" s="5" t="n">
        <v>126600</v>
      </c>
      <c r="H209" s="5" t="n">
        <v>86088</v>
      </c>
      <c r="I209" s="5" t="n">
        <v>86088</v>
      </c>
      <c r="J209" s="5" t="n">
        <v>82581.17999999999</v>
      </c>
      <c r="K209" s="5" t="n">
        <v>82581.17999999999</v>
      </c>
      <c r="L209" s="5" t="n">
        <v>0</v>
      </c>
      <c r="M209" s="5" t="n">
        <v>59856.61</v>
      </c>
      <c r="N209" s="5" t="n">
        <v>22724.56999999999</v>
      </c>
      <c r="O209" s="5" t="n">
        <v>22724.56999999999</v>
      </c>
      <c r="P209" s="4" t="n"/>
      <c r="Q209" s="6" t="n">
        <v>0.68</v>
      </c>
      <c r="R209" s="6" t="n">
        <v>0.7248</v>
      </c>
    </row>
    <row r="210">
      <c r="A210" s="4" t="inlineStr">
        <is>
          <t>24-PC-39213</t>
        </is>
      </c>
      <c r="B210" s="4" t="inlineStr">
        <is>
          <t>Task Order 17: Sage Flat School Campus Maritime Remote Sensing Survey</t>
        </is>
      </c>
      <c r="C210" s="4" t="inlineStr">
        <is>
          <t>In Progress</t>
        </is>
      </c>
      <c r="D210" s="4" t="inlineStr">
        <is>
          <t>Fixed fee</t>
        </is>
      </c>
      <c r="E210" s="4" t="inlineStr">
        <is>
          <t>Red Rock</t>
        </is>
      </c>
      <c r="F210" s="4" t="inlineStr">
        <is>
          <t>Javier Newman</t>
        </is>
      </c>
      <c r="G210" s="5" t="n">
        <v>597800</v>
      </c>
      <c r="H210" s="5" t="n">
        <v>458990.84</v>
      </c>
      <c r="I210" s="5" t="n">
        <v>458990.84</v>
      </c>
      <c r="J210" s="5" t="n">
        <v>435557.08</v>
      </c>
      <c r="K210" s="5" t="n">
        <v>435557.08</v>
      </c>
      <c r="L210" s="5" t="n">
        <v>0</v>
      </c>
      <c r="M210" s="5" t="n">
        <v>334422.57</v>
      </c>
      <c r="N210" s="5" t="n">
        <v>101134.51</v>
      </c>
      <c r="O210" s="5" t="n">
        <v>101134.51</v>
      </c>
      <c r="P210" s="4" t="n"/>
      <c r="Q210" s="6" t="n">
        <v>0.768</v>
      </c>
      <c r="R210" s="6" t="n">
        <v>0.7678</v>
      </c>
    </row>
    <row r="211">
      <c r="A211" s="4" t="inlineStr">
        <is>
          <t>24-PC-39308</t>
        </is>
      </c>
      <c r="B211" s="4" t="inlineStr">
        <is>
          <t>Pebble Beach Road Reservoir GIS Mapping</t>
        </is>
      </c>
      <c r="C211" s="4" t="inlineStr">
        <is>
          <t>Cost Tracking on Closed Project</t>
        </is>
      </c>
      <c r="D211" s="4" t="inlineStr">
        <is>
          <t>Fixed fee</t>
        </is>
      </c>
      <c r="E211" s="4" t="inlineStr">
        <is>
          <t>Red Rock</t>
        </is>
      </c>
      <c r="F211" s="4" t="inlineStr">
        <is>
          <t>Shelia Horne</t>
        </is>
      </c>
      <c r="G211" s="5" t="n">
        <v>11000</v>
      </c>
      <c r="H211" s="5" t="n">
        <v>11000</v>
      </c>
      <c r="I211" s="5" t="n">
        <v>11000</v>
      </c>
      <c r="J211" s="5" t="n">
        <v>7227</v>
      </c>
      <c r="K211" s="5" t="n">
        <v>7227</v>
      </c>
      <c r="L211" s="5" t="n">
        <v>0</v>
      </c>
      <c r="M211" s="5" t="n">
        <v>7427.79</v>
      </c>
      <c r="N211" s="5" t="n">
        <v>-200.79</v>
      </c>
      <c r="O211" s="5" t="n">
        <v>-200.79</v>
      </c>
      <c r="P211" s="4" t="n"/>
      <c r="Q211" s="6" t="n">
        <v>1</v>
      </c>
      <c r="R211" s="6" t="n">
        <v>1.0278</v>
      </c>
    </row>
    <row r="212">
      <c r="A212" s="4" t="inlineStr">
        <is>
          <t>24-PC-39479</t>
        </is>
      </c>
      <c r="B212" s="4" t="inlineStr">
        <is>
          <t>Granite Pass Solar - Cultural Resources Assessment</t>
        </is>
      </c>
      <c r="C212" s="4" t="inlineStr">
        <is>
          <t>Final Reporting/Review</t>
        </is>
      </c>
      <c r="D212" s="4" t="inlineStr">
        <is>
          <t>Time and material</t>
        </is>
      </c>
      <c r="E212" s="4" t="inlineStr">
        <is>
          <t>Red Rock</t>
        </is>
      </c>
      <c r="F212" s="4" t="inlineStr">
        <is>
          <t>Javier Newman</t>
        </is>
      </c>
      <c r="G212" s="5" t="n">
        <v>233000</v>
      </c>
      <c r="H212" s="5" t="n">
        <v>165185</v>
      </c>
      <c r="I212" s="5" t="n">
        <v>165185</v>
      </c>
      <c r="J212" s="5" t="n">
        <v>164777.6</v>
      </c>
      <c r="K212" s="5" t="n">
        <v>164777.6</v>
      </c>
      <c r="L212" s="5" t="n">
        <v>0</v>
      </c>
      <c r="M212" s="5" t="n">
        <v>116733.87</v>
      </c>
      <c r="N212" s="5" t="n">
        <v>48043.73000000001</v>
      </c>
      <c r="O212" s="5" t="n">
        <v>48043.73000000001</v>
      </c>
      <c r="P212" s="4" t="n"/>
      <c r="Q212" s="6" t="n">
        <v>0.709</v>
      </c>
      <c r="R212" s="6" t="n">
        <v>0.7084</v>
      </c>
    </row>
    <row r="213">
      <c r="A213" s="4" t="inlineStr">
        <is>
          <t>24-PC-39511</t>
        </is>
      </c>
      <c r="B213" s="4" t="inlineStr">
        <is>
          <t>Juniper Wash Pipeline - Archaeological Testing</t>
        </is>
      </c>
      <c r="C213" s="4" t="inlineStr">
        <is>
          <t>In Progress</t>
        </is>
      </c>
      <c r="D213" s="4" t="inlineStr">
        <is>
          <t>Time and material</t>
        </is>
      </c>
      <c r="E213" s="4" t="inlineStr">
        <is>
          <t>Red Rock</t>
        </is>
      </c>
      <c r="F213" s="4" t="inlineStr">
        <is>
          <t>Tina Aguirre</t>
        </is>
      </c>
      <c r="G213" s="5" t="n">
        <v>33000</v>
      </c>
      <c r="H213" s="5" t="n">
        <v>29186</v>
      </c>
      <c r="I213" s="5" t="n">
        <v>29186</v>
      </c>
      <c r="J213" s="5" t="n">
        <v>23227.58</v>
      </c>
      <c r="K213" s="5" t="n">
        <v>20462.4</v>
      </c>
      <c r="L213" s="5" t="n">
        <v>2765.18</v>
      </c>
      <c r="M213" s="5" t="n">
        <v>29633.53</v>
      </c>
      <c r="N213" s="5" t="n">
        <v>-6405.949999999997</v>
      </c>
      <c r="O213" s="5" t="n">
        <v>-9171.129999999997</v>
      </c>
      <c r="P213" s="4" t="n"/>
      <c r="Q213" s="6" t="n">
        <v>0.884</v>
      </c>
      <c r="R213" s="6" t="n">
        <v>1.2758</v>
      </c>
    </row>
    <row r="214">
      <c r="A214" s="4" t="inlineStr">
        <is>
          <t>24-PC-39533</t>
        </is>
      </c>
      <c r="B214" s="4" t="inlineStr">
        <is>
          <t>Elk Meadow Architectural History Survey</t>
        </is>
      </c>
      <c r="C214" s="4" t="inlineStr">
        <is>
          <t>In Progress</t>
        </is>
      </c>
      <c r="D214" s="4" t="inlineStr">
        <is>
          <t>Fixed fee</t>
        </is>
      </c>
      <c r="E214" s="4" t="inlineStr">
        <is>
          <t>Red Rock</t>
        </is>
      </c>
      <c r="F214" s="4" t="inlineStr">
        <is>
          <t>Jeanette Chung</t>
        </is>
      </c>
      <c r="G214" s="5" t="n">
        <v>67000</v>
      </c>
      <c r="H214" s="5" t="n">
        <v>63536.1</v>
      </c>
      <c r="I214" s="5" t="n">
        <v>63536.1</v>
      </c>
      <c r="J214" s="5" t="n">
        <v>52641.9</v>
      </c>
      <c r="K214" s="5" t="n">
        <v>52641.9</v>
      </c>
      <c r="L214" s="5" t="n">
        <v>0</v>
      </c>
      <c r="M214" s="5" t="n">
        <v>49919.2</v>
      </c>
      <c r="N214" s="5" t="n">
        <v>2722.700000000004</v>
      </c>
      <c r="O214" s="5" t="n">
        <v>2722.700000000004</v>
      </c>
      <c r="P214" s="4" t="n"/>
      <c r="Q214" s="6" t="n">
        <v>0.948</v>
      </c>
      <c r="R214" s="6" t="n">
        <v>0.9483</v>
      </c>
    </row>
    <row r="215">
      <c r="A215" s="4" t="inlineStr">
        <is>
          <t>24-PC-39694</t>
        </is>
      </c>
      <c r="B215" s="4" t="inlineStr">
        <is>
          <t>Task Order 35: Sandpiper Trail Historic Resources Evaluation</t>
        </is>
      </c>
      <c r="C215" s="4" t="inlineStr">
        <is>
          <t>In Progress</t>
        </is>
      </c>
      <c r="D215" s="4" t="inlineStr">
        <is>
          <t>Time and material</t>
        </is>
      </c>
      <c r="E215" s="4" t="inlineStr">
        <is>
          <t>Red Rock</t>
        </is>
      </c>
      <c r="F215" s="4" t="inlineStr">
        <is>
          <t>Tina Aguirre</t>
        </is>
      </c>
      <c r="G215" s="5" t="n">
        <v>136500</v>
      </c>
      <c r="H215" s="5" t="n">
        <v>92820</v>
      </c>
      <c r="I215" s="5" t="n">
        <v>92820</v>
      </c>
      <c r="J215" s="5" t="n">
        <v>93075.52</v>
      </c>
      <c r="K215" s="5" t="n">
        <v>70843.67999999999</v>
      </c>
      <c r="L215" s="5" t="n">
        <v>22231.84</v>
      </c>
      <c r="M215" s="5" t="n">
        <v>77289.3</v>
      </c>
      <c r="N215" s="5" t="n">
        <v>15786.22</v>
      </c>
      <c r="O215" s="5" t="n">
        <v>-6445.62000000001</v>
      </c>
      <c r="P215" s="4" t="n"/>
      <c r="Q215" s="6" t="n">
        <v>0.68</v>
      </c>
      <c r="R215" s="6" t="n">
        <v>0.8304</v>
      </c>
    </row>
    <row r="216">
      <c r="A216" s="4" t="inlineStr">
        <is>
          <t>24-PC-39825</t>
        </is>
      </c>
      <c r="B216" s="4" t="inlineStr">
        <is>
          <t>On-Call: Twin Buttes Housing Development GIS Mapping</t>
        </is>
      </c>
      <c r="C216" s="4" t="inlineStr">
        <is>
          <t>In Progress</t>
        </is>
      </c>
      <c r="D216" s="4" t="inlineStr">
        <is>
          <t>Fixed fee</t>
        </is>
      </c>
      <c r="E216" s="4" t="inlineStr">
        <is>
          <t>Red Rock</t>
        </is>
      </c>
      <c r="F216" s="4" t="inlineStr">
        <is>
          <t>Bruce Suarez</t>
        </is>
      </c>
      <c r="G216" s="5" t="n">
        <v>17800</v>
      </c>
      <c r="H216" s="5" t="n">
        <v>17800</v>
      </c>
      <c r="I216" s="5" t="n">
        <v>17800</v>
      </c>
      <c r="J216" s="5" t="n">
        <v>14308.95</v>
      </c>
      <c r="K216" s="5" t="n">
        <v>10538.95</v>
      </c>
      <c r="L216" s="5" t="n">
        <v>3770</v>
      </c>
      <c r="M216" s="5" t="n">
        <v>14659.16</v>
      </c>
      <c r="N216" s="5" t="n">
        <v>-350.2099999999991</v>
      </c>
      <c r="O216" s="5" t="n">
        <v>-4120.209999999999</v>
      </c>
      <c r="P216" s="4" t="n"/>
      <c r="Q216" s="6" t="n">
        <v>1</v>
      </c>
      <c r="R216" s="6" t="n">
        <v>1.0245</v>
      </c>
    </row>
    <row r="217">
      <c r="A217" s="4" t="inlineStr">
        <is>
          <t>24-PC-39923</t>
        </is>
      </c>
      <c r="B217" s="4" t="inlineStr">
        <is>
          <t>Fern Valley Fiber Route - Data Recovery</t>
        </is>
      </c>
      <c r="C217" s="4" t="inlineStr">
        <is>
          <t>In Progress</t>
        </is>
      </c>
      <c r="D217" s="4" t="inlineStr">
        <is>
          <t>Time and material</t>
        </is>
      </c>
      <c r="E217" s="4" t="inlineStr">
        <is>
          <t>Red Rock</t>
        </is>
      </c>
      <c r="F217" s="4" t="inlineStr">
        <is>
          <t>Lydia Cisneros</t>
        </is>
      </c>
      <c r="G217" s="5" t="n">
        <v>414900</v>
      </c>
      <c r="H217" s="5" t="n">
        <v>339174.65</v>
      </c>
      <c r="I217" s="5" t="n">
        <v>331243.28</v>
      </c>
      <c r="J217" s="5" t="n">
        <v>270722.25</v>
      </c>
      <c r="K217" s="5" t="n">
        <v>270722.25</v>
      </c>
      <c r="L217" s="5" t="n">
        <v>0</v>
      </c>
      <c r="M217" s="5" t="n">
        <v>215589.53</v>
      </c>
      <c r="N217" s="5" t="n">
        <v>55132.72</v>
      </c>
      <c r="O217" s="5" t="n">
        <v>55132.72</v>
      </c>
      <c r="P217" s="4" t="n"/>
      <c r="Q217" s="6" t="n">
        <v>0.8169999999999999</v>
      </c>
      <c r="R217" s="6" t="n">
        <v>0.7963</v>
      </c>
    </row>
    <row r="218">
      <c r="A218" s="4" t="inlineStr">
        <is>
          <t>24-PC-39940</t>
        </is>
      </c>
      <c r="B218" s="4" t="inlineStr">
        <is>
          <t>Riverbend Levee Repair - Curation</t>
        </is>
      </c>
      <c r="C218" s="4" t="inlineStr">
        <is>
          <t>In Progress</t>
        </is>
      </c>
      <c r="D218" s="4" t="inlineStr">
        <is>
          <t>Fixed fee</t>
        </is>
      </c>
      <c r="E218" s="4" t="inlineStr">
        <is>
          <t>Red Rock</t>
        </is>
      </c>
      <c r="F218" s="4" t="inlineStr">
        <is>
          <t>Marisa Odom</t>
        </is>
      </c>
      <c r="G218" s="5" t="n">
        <v>20400</v>
      </c>
      <c r="H218" s="5" t="n">
        <v>13135.56</v>
      </c>
      <c r="I218" s="5" t="n">
        <v>13135.56</v>
      </c>
      <c r="J218" s="5" t="n">
        <v>16397.52</v>
      </c>
      <c r="K218" s="5" t="n">
        <v>16397.52</v>
      </c>
      <c r="L218" s="5" t="n">
        <v>0</v>
      </c>
      <c r="M218" s="5" t="n">
        <v>10559.17</v>
      </c>
      <c r="N218" s="5" t="n">
        <v>5838.35</v>
      </c>
      <c r="O218" s="5" t="n">
        <v>5838.35</v>
      </c>
      <c r="P218" s="4" t="n"/>
      <c r="Q218" s="6" t="n">
        <v>0.644</v>
      </c>
      <c r="R218" s="6" t="n">
        <v>0.6439</v>
      </c>
    </row>
    <row r="219">
      <c r="A219" s="4" t="inlineStr">
        <is>
          <t>24-PC-40067</t>
        </is>
      </c>
      <c r="B219" s="4" t="inlineStr">
        <is>
          <t>Saltgrass Fiber Route Class III Survey</t>
        </is>
      </c>
      <c r="C219" s="4" t="inlineStr">
        <is>
          <t>In Progress</t>
        </is>
      </c>
      <c r="D219" s="4" t="inlineStr">
        <is>
          <t>Time and material</t>
        </is>
      </c>
      <c r="E219" s="4" t="inlineStr">
        <is>
          <t>Red Rock</t>
        </is>
      </c>
      <c r="F219" s="4" t="inlineStr">
        <is>
          <t>Marisa Odom</t>
        </is>
      </c>
      <c r="G219" s="5" t="n">
        <v>218100</v>
      </c>
      <c r="H219" s="5" t="n">
        <v>148308</v>
      </c>
      <c r="I219" s="5" t="n">
        <v>148308</v>
      </c>
      <c r="J219" s="5" t="n">
        <v>163684.05</v>
      </c>
      <c r="K219" s="5" t="n">
        <v>163684.05</v>
      </c>
      <c r="L219" s="5" t="n">
        <v>0</v>
      </c>
      <c r="M219" s="5" t="n">
        <v>137568.33</v>
      </c>
      <c r="N219" s="5" t="n">
        <v>26115.72</v>
      </c>
      <c r="O219" s="5" t="n">
        <v>26115.72</v>
      </c>
      <c r="P219" s="4" t="n"/>
      <c r="Q219" s="6" t="n">
        <v>0.68</v>
      </c>
      <c r="R219" s="6" t="n">
        <v>0.8405</v>
      </c>
    </row>
    <row r="220">
      <c r="A220" s="4" t="inlineStr">
        <is>
          <t>24-PC-40102</t>
        </is>
      </c>
      <c r="B220" s="4" t="inlineStr">
        <is>
          <t>Redbud Class III Survey</t>
        </is>
      </c>
      <c r="C220" s="4" t="inlineStr">
        <is>
          <t>Final Reporting/Review</t>
        </is>
      </c>
      <c r="D220" s="4" t="inlineStr">
        <is>
          <t>Fixed fee</t>
        </is>
      </c>
      <c r="E220" s="4" t="inlineStr">
        <is>
          <t>Sierra</t>
        </is>
      </c>
      <c r="F220" s="4" t="inlineStr">
        <is>
          <t>Benjamin Mathis</t>
        </is>
      </c>
      <c r="G220" s="5" t="n">
        <v>453900</v>
      </c>
      <c r="H220" s="5" t="n">
        <v>453900</v>
      </c>
      <c r="I220" s="5" t="n">
        <v>453900</v>
      </c>
      <c r="J220" s="5" t="n">
        <v>322187.01</v>
      </c>
      <c r="K220" s="5" t="n">
        <v>278794.4</v>
      </c>
      <c r="L220" s="5" t="n">
        <v>43392.61</v>
      </c>
      <c r="M220" s="5" t="n">
        <v>359994.61</v>
      </c>
      <c r="N220" s="5" t="n">
        <v>-37807.59999999998</v>
      </c>
      <c r="O220" s="5" t="n">
        <v>-81200.20999999996</v>
      </c>
      <c r="P220" s="4" t="n"/>
      <c r="Q220" s="6" t="n">
        <v>1</v>
      </c>
      <c r="R220" s="6" t="n">
        <v>1.1173</v>
      </c>
    </row>
    <row r="221">
      <c r="A221" s="4" t="inlineStr">
        <is>
          <t>24-PC-40218</t>
        </is>
      </c>
      <c r="B221" s="4" t="inlineStr">
        <is>
          <t>North Fork Bridge Replacement - Built Environment Survey</t>
        </is>
      </c>
      <c r="C221" s="4" t="inlineStr">
        <is>
          <t>In Progress</t>
        </is>
      </c>
      <c r="D221" s="4" t="inlineStr">
        <is>
          <t>Time and material</t>
        </is>
      </c>
      <c r="E221" s="4" t="inlineStr">
        <is>
          <t>Sierra North</t>
        </is>
      </c>
      <c r="F221" s="4" t="inlineStr">
        <is>
          <t>Angelica Poole</t>
        </is>
      </c>
      <c r="G221" s="5" t="n">
        <v>141000</v>
      </c>
      <c r="H221" s="5" t="n">
        <v>95880</v>
      </c>
      <c r="I221" s="5" t="n">
        <v>95880</v>
      </c>
      <c r="J221" s="5" t="n">
        <v>95626.2</v>
      </c>
      <c r="K221" s="5" t="n">
        <v>95626.2</v>
      </c>
      <c r="L221" s="5" t="n">
        <v>0</v>
      </c>
      <c r="M221" s="5" t="n">
        <v>51169.2</v>
      </c>
      <c r="N221" s="5" t="n">
        <v>44457</v>
      </c>
      <c r="O221" s="5" t="n">
        <v>44457</v>
      </c>
      <c r="P221" s="4" t="n"/>
      <c r="Q221" s="6" t="n">
        <v>0.68</v>
      </c>
      <c r="R221" s="6" t="n">
        <v>0.5351</v>
      </c>
    </row>
    <row r="222">
      <c r="A222" s="4" t="inlineStr">
        <is>
          <t>24-PC-40317</t>
        </is>
      </c>
      <c r="B222" s="4" t="inlineStr">
        <is>
          <t>Sumac Ridge Harbor Dredging Curation</t>
        </is>
      </c>
      <c r="C222" s="4" t="inlineStr">
        <is>
          <t>In Progress</t>
        </is>
      </c>
      <c r="D222" s="4" t="inlineStr">
        <is>
          <t>Time and material</t>
        </is>
      </c>
      <c r="E222" s="4" t="inlineStr">
        <is>
          <t>Sierra</t>
        </is>
      </c>
      <c r="F222" s="4" t="inlineStr">
        <is>
          <t>Angelica Poole</t>
        </is>
      </c>
      <c r="G222" s="5" t="n">
        <v>225800</v>
      </c>
      <c r="H222" s="5" t="n">
        <v>153544</v>
      </c>
      <c r="I222" s="5" t="n">
        <v>153544</v>
      </c>
      <c r="J222" s="5" t="n">
        <v>153318.2</v>
      </c>
      <c r="K222" s="5" t="n">
        <v>153318.2</v>
      </c>
      <c r="L222" s="5" t="n">
        <v>0</v>
      </c>
      <c r="M222" s="5" t="n">
        <v>86572.73</v>
      </c>
      <c r="N222" s="5" t="n">
        <v>66745.47000000002</v>
      </c>
      <c r="O222" s="5" t="n">
        <v>66745.47000000002</v>
      </c>
      <c r="P222" s="4" t="n"/>
      <c r="Q222" s="6" t="n">
        <v>0.68</v>
      </c>
      <c r="R222" s="6" t="n">
        <v>0.5647</v>
      </c>
    </row>
    <row r="223">
      <c r="A223" s="4" t="inlineStr">
        <is>
          <t>24-PC-40479</t>
        </is>
      </c>
      <c r="B223" s="4" t="inlineStr">
        <is>
          <t>Quail Run Rail Siding - Built Environment Survey</t>
        </is>
      </c>
      <c r="C223" s="4" t="inlineStr">
        <is>
          <t>In Progress</t>
        </is>
      </c>
      <c r="D223" s="4" t="inlineStr">
        <is>
          <t>Fixed fee</t>
        </is>
      </c>
      <c r="E223" s="4" t="inlineStr">
        <is>
          <t>Sierra North</t>
        </is>
      </c>
      <c r="F223" s="4" t="inlineStr">
        <is>
          <t>Donna Herring</t>
        </is>
      </c>
      <c r="G223" s="5" t="n">
        <v>139600</v>
      </c>
      <c r="H223" s="5" t="n">
        <v>89036.88</v>
      </c>
      <c r="I223" s="5" t="n">
        <v>89036.88</v>
      </c>
      <c r="J223" s="5" t="n">
        <v>110619.04</v>
      </c>
      <c r="K223" s="5" t="n">
        <v>110619.04</v>
      </c>
      <c r="L223" s="5" t="n">
        <v>0</v>
      </c>
      <c r="M223" s="5" t="n">
        <v>70556.03999999999</v>
      </c>
      <c r="N223" s="5" t="n">
        <v>40063</v>
      </c>
      <c r="O223" s="5" t="n">
        <v>40063</v>
      </c>
      <c r="P223" s="4" t="n"/>
      <c r="Q223" s="6" t="n">
        <v>0.638</v>
      </c>
      <c r="R223" s="6" t="n">
        <v>0.6378</v>
      </c>
    </row>
    <row r="224">
      <c r="A224" s="4" t="inlineStr">
        <is>
          <t>24-PC-40561</t>
        </is>
      </c>
      <c r="B224" s="4" t="inlineStr">
        <is>
          <t>Task Order 39: Aspen Ridge Housing Development GIS Mapping</t>
        </is>
      </c>
      <c r="C224" s="4" t="inlineStr">
        <is>
          <t>In Progress</t>
        </is>
      </c>
      <c r="D224" s="4" t="inlineStr">
        <is>
          <t>Fixed fee</t>
        </is>
      </c>
      <c r="E224" s="4" t="inlineStr">
        <is>
          <t>Sierra</t>
        </is>
      </c>
      <c r="F224" s="4" t="inlineStr">
        <is>
          <t>Benjamin Mathis</t>
        </is>
      </c>
      <c r="G224" s="5" t="n">
        <v>2335800</v>
      </c>
      <c r="H224" s="5" t="n">
        <v>1666359.72</v>
      </c>
      <c r="I224" s="5" t="n">
        <v>1651216.14</v>
      </c>
      <c r="J224" s="5" t="n">
        <v>1746045.15</v>
      </c>
      <c r="K224" s="5" t="n">
        <v>1301909.91</v>
      </c>
      <c r="L224" s="5" t="n">
        <v>444135.24</v>
      </c>
      <c r="M224" s="5" t="n">
        <v>1245666.04</v>
      </c>
      <c r="N224" s="5" t="n">
        <v>500379.1099999999</v>
      </c>
      <c r="O224" s="5" t="n">
        <v>56243.86999999988</v>
      </c>
      <c r="P224" s="4" t="n"/>
      <c r="Q224" s="6" t="n">
        <v>0.713</v>
      </c>
      <c r="R224" s="6" t="n">
        <v>0.7134</v>
      </c>
    </row>
    <row r="225">
      <c r="A225" s="4" t="inlineStr">
        <is>
          <t>24-PC-40634</t>
        </is>
      </c>
      <c r="B225" s="4" t="inlineStr">
        <is>
          <t>Phase I: Windmill Flat Solar Cultural Resources Assessment</t>
        </is>
      </c>
      <c r="C225" s="4" t="inlineStr">
        <is>
          <t>In Progress</t>
        </is>
      </c>
      <c r="D225" s="4" t="inlineStr">
        <is>
          <t>Fixed fee</t>
        </is>
      </c>
      <c r="E225" s="4" t="inlineStr">
        <is>
          <t>Sierra</t>
        </is>
      </c>
      <c r="F225" s="4" t="inlineStr">
        <is>
          <t>Angelica Poole</t>
        </is>
      </c>
      <c r="G225" s="5" t="n">
        <v>460500</v>
      </c>
      <c r="H225" s="5" t="n">
        <v>326540.55</v>
      </c>
      <c r="I225" s="5" t="n">
        <v>326540.55</v>
      </c>
      <c r="J225" s="5" t="n">
        <v>381017.7</v>
      </c>
      <c r="K225" s="5" t="n">
        <v>381017.7</v>
      </c>
      <c r="L225" s="5" t="n">
        <v>0</v>
      </c>
      <c r="M225" s="5" t="n">
        <v>270177.47</v>
      </c>
      <c r="N225" s="5" t="n">
        <v>110840.23</v>
      </c>
      <c r="O225" s="5" t="n">
        <v>110840.23</v>
      </c>
      <c r="P225" s="4" t="n"/>
      <c r="Q225" s="6" t="n">
        <v>0.709</v>
      </c>
      <c r="R225" s="6" t="n">
        <v>0.7091</v>
      </c>
    </row>
    <row r="226">
      <c r="A226" s="4" t="inlineStr">
        <is>
          <t>24-PC-40659</t>
        </is>
      </c>
      <c r="B226" s="4" t="inlineStr">
        <is>
          <t>Phase III: Meadowlark Water Main Built Environment Survey</t>
        </is>
      </c>
      <c r="C226" s="4" t="inlineStr">
        <is>
          <t>Cost Tracking on Closed Project</t>
        </is>
      </c>
      <c r="D226" s="4" t="inlineStr">
        <is>
          <t>Fixed fee</t>
        </is>
      </c>
      <c r="E226" s="4" t="inlineStr">
        <is>
          <t>Sierra North</t>
        </is>
      </c>
      <c r="F226" s="4" t="inlineStr">
        <is>
          <t>Louis Huff</t>
        </is>
      </c>
      <c r="G226" s="5" t="n">
        <v>50300</v>
      </c>
      <c r="H226" s="5" t="n">
        <v>46200.55</v>
      </c>
      <c r="I226" s="5" t="n">
        <v>46200.55</v>
      </c>
      <c r="J226" s="5" t="n">
        <v>35350.84</v>
      </c>
      <c r="K226" s="5" t="n">
        <v>35350.84</v>
      </c>
      <c r="L226" s="5" t="n">
        <v>0</v>
      </c>
      <c r="M226" s="5" t="n">
        <v>32471.24</v>
      </c>
      <c r="N226" s="5" t="n">
        <v>2879.599999999995</v>
      </c>
      <c r="O226" s="5" t="n">
        <v>2879.599999999995</v>
      </c>
      <c r="P226" s="4" t="n"/>
      <c r="Q226" s="6" t="n">
        <v>0.918</v>
      </c>
      <c r="R226" s="6" t="n">
        <v>0.9185</v>
      </c>
    </row>
    <row r="227">
      <c r="A227" s="4" t="inlineStr">
        <is>
          <t>24-PC-40670</t>
        </is>
      </c>
      <c r="B227" s="4" t="inlineStr">
        <is>
          <t>Sumac Ridge Cultural Resources Monitoring</t>
        </is>
      </c>
      <c r="C227" s="4" t="inlineStr">
        <is>
          <t>Final Reporting/Review</t>
        </is>
      </c>
      <c r="D227" s="4" t="inlineStr">
        <is>
          <t>Fixed fee</t>
        </is>
      </c>
      <c r="E227" s="4" t="inlineStr">
        <is>
          <t>Sierra North</t>
        </is>
      </c>
      <c r="F227" s="4" t="inlineStr">
        <is>
          <t>Donna Herring</t>
        </is>
      </c>
      <c r="G227" s="5" t="n">
        <v>22100</v>
      </c>
      <c r="H227" s="5" t="n">
        <v>22100</v>
      </c>
      <c r="I227" s="5" t="n">
        <v>22100</v>
      </c>
      <c r="J227" s="5" t="n">
        <v>17918.68</v>
      </c>
      <c r="K227" s="5" t="n">
        <v>17918.68</v>
      </c>
      <c r="L227" s="5" t="n">
        <v>0</v>
      </c>
      <c r="M227" s="5" t="n">
        <v>33602.1</v>
      </c>
      <c r="N227" s="5" t="n">
        <v>-15683.42</v>
      </c>
      <c r="O227" s="5" t="n">
        <v>-15683.42</v>
      </c>
      <c r="P227" s="4" t="n"/>
      <c r="Q227" s="6" t="n">
        <v>1</v>
      </c>
      <c r="R227" s="6" t="n">
        <v>1.8753</v>
      </c>
    </row>
    <row r="228">
      <c r="A228" s="4" t="inlineStr">
        <is>
          <t>24-PC-40782</t>
        </is>
      </c>
      <c r="B228" s="4" t="inlineStr">
        <is>
          <t>Saltgrass Battery Storage - Historic Resources Evaluation</t>
        </is>
      </c>
      <c r="C228" s="4" t="inlineStr">
        <is>
          <t>In Progress</t>
        </is>
      </c>
      <c r="D228" s="4" t="inlineStr">
        <is>
          <t>Time and material</t>
        </is>
      </c>
      <c r="E228" s="4" t="inlineStr">
        <is>
          <t>Coastal Bend</t>
        </is>
      </c>
      <c r="F228" s="4" t="inlineStr">
        <is>
          <t>Alexis Nixon</t>
        </is>
      </c>
      <c r="G228" s="5" t="n">
        <v>48400</v>
      </c>
      <c r="H228" s="5" t="n">
        <v>48400</v>
      </c>
      <c r="I228" s="5" t="n">
        <v>47376.63</v>
      </c>
      <c r="J228" s="5" t="n">
        <v>37137.32</v>
      </c>
      <c r="K228" s="5" t="n">
        <v>37137.32</v>
      </c>
      <c r="L228" s="5" t="n">
        <v>0</v>
      </c>
      <c r="M228" s="5" t="n">
        <v>47362.38</v>
      </c>
      <c r="N228" s="5" t="n">
        <v>-10225.06</v>
      </c>
      <c r="O228" s="5" t="n">
        <v>-10225.06</v>
      </c>
      <c r="P228" s="4" t="n"/>
      <c r="Q228" s="6" t="n">
        <v>1</v>
      </c>
      <c r="R228" s="6" t="n">
        <v>1.2753</v>
      </c>
    </row>
    <row r="229">
      <c r="A229" s="4" t="inlineStr">
        <is>
          <t>24-PC-40824</t>
        </is>
      </c>
      <c r="B229" s="4" t="inlineStr">
        <is>
          <t>Slate Ridge Water Main Maritime Remote Sensing Survey</t>
        </is>
      </c>
      <c r="C229" s="4" t="inlineStr">
        <is>
          <t>Final Reporting/Review</t>
        </is>
      </c>
      <c r="D229" s="4" t="inlineStr">
        <is>
          <t>Fixed fee</t>
        </is>
      </c>
      <c r="E229" s="4" t="inlineStr">
        <is>
          <t>Coastal Bend</t>
        </is>
      </c>
      <c r="F229" s="4" t="inlineStr">
        <is>
          <t>Duane Ballard</t>
        </is>
      </c>
      <c r="G229" s="5" t="n">
        <v>31800</v>
      </c>
      <c r="H229" s="5" t="n">
        <v>31800</v>
      </c>
      <c r="I229" s="5" t="n">
        <v>31800</v>
      </c>
      <c r="J229" s="5" t="n">
        <v>20975.28</v>
      </c>
      <c r="K229" s="5" t="n">
        <v>20975.28</v>
      </c>
      <c r="L229" s="5" t="n">
        <v>0</v>
      </c>
      <c r="M229" s="5" t="n">
        <v>22323.11</v>
      </c>
      <c r="N229" s="5" t="n">
        <v>-1347.830000000002</v>
      </c>
      <c r="O229" s="5" t="n">
        <v>-1347.830000000002</v>
      </c>
      <c r="P229" s="4" t="n"/>
      <c r="Q229" s="6" t="n">
        <v>1</v>
      </c>
      <c r="R229" s="6" t="n">
        <v>1.0643</v>
      </c>
    </row>
    <row r="230">
      <c r="A230" s="4" t="inlineStr">
        <is>
          <t>24-PC-40888</t>
        </is>
      </c>
      <c r="B230" s="4" t="inlineStr">
        <is>
          <t>Pine Hollow Battery Storage - Archaeological Testing</t>
        </is>
      </c>
      <c r="C230" s="4" t="inlineStr">
        <is>
          <t>Lab/Curation</t>
        </is>
      </c>
      <c r="D230" s="4" t="inlineStr">
        <is>
          <t>Fixed fee</t>
        </is>
      </c>
      <c r="E230" s="4" t="inlineStr">
        <is>
          <t>Coastal Bend</t>
        </is>
      </c>
      <c r="F230" s="4" t="inlineStr">
        <is>
          <t>Diane Daniels</t>
        </is>
      </c>
      <c r="G230" s="5" t="n">
        <v>579300</v>
      </c>
      <c r="H230" s="5" t="n">
        <v>579300</v>
      </c>
      <c r="I230" s="5" t="n">
        <v>579300</v>
      </c>
      <c r="J230" s="5" t="n">
        <v>392475.75</v>
      </c>
      <c r="K230" s="5" t="n">
        <v>392475.75</v>
      </c>
      <c r="L230" s="5" t="n">
        <v>0</v>
      </c>
      <c r="M230" s="5" t="n">
        <v>413750.74</v>
      </c>
      <c r="N230" s="5" t="n">
        <v>-21274.98999999999</v>
      </c>
      <c r="O230" s="5" t="n">
        <v>-21274.98999999999</v>
      </c>
      <c r="P230" s="4" t="n"/>
      <c r="Q230" s="6" t="n">
        <v>1</v>
      </c>
      <c r="R230" s="6" t="n">
        <v>1.0542</v>
      </c>
    </row>
    <row r="231">
      <c r="A231" s="4" t="inlineStr">
        <is>
          <t>24-PC-40956</t>
        </is>
      </c>
      <c r="B231" s="4" t="inlineStr">
        <is>
          <t>Foxglove Airport Apron - Maritime Remote Sensing Survey</t>
        </is>
      </c>
      <c r="C231" s="4" t="inlineStr">
        <is>
          <t>In Progress</t>
        </is>
      </c>
      <c r="D231" s="4" t="inlineStr">
        <is>
          <t>Fixed fee</t>
        </is>
      </c>
      <c r="E231" s="4" t="inlineStr">
        <is>
          <t>Coastal Bend</t>
        </is>
      </c>
      <c r="F231" s="4" t="inlineStr">
        <is>
          <t>Diane Daniels</t>
        </is>
      </c>
      <c r="G231" s="5" t="n">
        <v>8800</v>
      </c>
      <c r="H231" s="5" t="n">
        <v>8800</v>
      </c>
      <c r="I231" s="5" t="n">
        <v>8800</v>
      </c>
      <c r="J231" s="5" t="n">
        <v>6914.16</v>
      </c>
      <c r="K231" s="5" t="n">
        <v>6914.16</v>
      </c>
      <c r="L231" s="5" t="n">
        <v>0</v>
      </c>
      <c r="M231" s="5" t="n">
        <v>7269.9</v>
      </c>
      <c r="N231" s="5" t="n">
        <v>-355.7399999999998</v>
      </c>
      <c r="O231" s="5" t="n">
        <v>-355.7399999999998</v>
      </c>
      <c r="P231" s="4" t="n"/>
      <c r="Q231" s="6" t="n">
        <v>1</v>
      </c>
      <c r="R231" s="6" t="n">
        <v>1.0515</v>
      </c>
    </row>
    <row r="232">
      <c r="A232" s="4" t="inlineStr">
        <is>
          <t>24-PC-41023</t>
        </is>
      </c>
      <c r="B232" s="4" t="inlineStr">
        <is>
          <t>Phase I: Bramble Creek Levee Repair Phase I Survey</t>
        </is>
      </c>
      <c r="C232" s="4" t="inlineStr">
        <is>
          <t>In Progress</t>
        </is>
      </c>
      <c r="D232" s="4" t="inlineStr">
        <is>
          <t>Time and material</t>
        </is>
      </c>
      <c r="E232" s="4" t="inlineStr">
        <is>
          <t>Coastal Bend</t>
        </is>
      </c>
      <c r="F232" s="4" t="inlineStr">
        <is>
          <t>Alexis Nixon</t>
        </is>
      </c>
      <c r="G232" s="5" t="n">
        <v>60600</v>
      </c>
      <c r="H232" s="5" t="n">
        <v>41208</v>
      </c>
      <c r="I232" s="5" t="n">
        <v>41208</v>
      </c>
      <c r="J232" s="5" t="n">
        <v>39983.88</v>
      </c>
      <c r="K232" s="5" t="n">
        <v>39983.88</v>
      </c>
      <c r="L232" s="5" t="n">
        <v>0</v>
      </c>
      <c r="M232" s="5" t="n">
        <v>31771.04</v>
      </c>
      <c r="N232" s="5" t="n">
        <v>8212.839999999997</v>
      </c>
      <c r="O232" s="5" t="n">
        <v>8212.839999999997</v>
      </c>
      <c r="P232" s="4" t="n"/>
      <c r="Q232" s="6" t="n">
        <v>0.68</v>
      </c>
      <c r="R232" s="6" t="n">
        <v>0.7946</v>
      </c>
    </row>
    <row r="233">
      <c r="A233" s="4" t="inlineStr">
        <is>
          <t>24-PC-41119</t>
        </is>
      </c>
      <c r="B233" s="4" t="inlineStr">
        <is>
          <t>Rushgrass Draw Cultural Resources Assessment</t>
        </is>
      </c>
      <c r="C233" s="4" t="inlineStr">
        <is>
          <t>Transferred Entity</t>
        </is>
      </c>
      <c r="D233" s="4" t="inlineStr">
        <is>
          <t>Fixed fee</t>
        </is>
      </c>
      <c r="E233" s="4" t="inlineStr">
        <is>
          <t>Coastal Bend</t>
        </is>
      </c>
      <c r="F233" s="4" t="inlineStr">
        <is>
          <t>Alexis Nixon</t>
        </is>
      </c>
      <c r="G233" s="5" t="n">
        <v>18000</v>
      </c>
      <c r="H233" s="5" t="n">
        <v>18000</v>
      </c>
      <c r="I233" s="5" t="n">
        <v>15244.1</v>
      </c>
      <c r="J233" s="5" t="n">
        <v>12312</v>
      </c>
      <c r="K233" s="5" t="n">
        <v>12312</v>
      </c>
      <c r="L233" s="5" t="n">
        <v>0</v>
      </c>
      <c r="M233" s="5" t="n">
        <v>22722.22</v>
      </c>
      <c r="N233" s="5" t="n">
        <v>-10410.22</v>
      </c>
      <c r="O233" s="5" t="n">
        <v>-10410.22</v>
      </c>
      <c r="P233" s="4" t="n"/>
      <c r="Q233" s="6" t="n">
        <v>1</v>
      </c>
      <c r="R233" s="6" t="n">
        <v>1.8455</v>
      </c>
    </row>
    <row r="234">
      <c r="A234" s="4" t="inlineStr">
        <is>
          <t>24-PC-41154</t>
        </is>
      </c>
      <c r="B234" s="4" t="inlineStr">
        <is>
          <t>Lantern Bay Mine Expansion Data Recovery</t>
        </is>
      </c>
      <c r="C234" s="4" t="inlineStr">
        <is>
          <t>In Progress</t>
        </is>
      </c>
      <c r="D234" s="4" t="inlineStr">
        <is>
          <t>Fixed fee</t>
        </is>
      </c>
      <c r="E234" s="4" t="inlineStr">
        <is>
          <t>Coastal Bend</t>
        </is>
      </c>
      <c r="F234" s="4" t="inlineStr">
        <is>
          <t>Alexis Nixon</t>
        </is>
      </c>
      <c r="G234" s="5" t="n">
        <v>194900</v>
      </c>
      <c r="H234" s="5" t="n">
        <v>187591.25</v>
      </c>
      <c r="I234" s="5" t="n">
        <v>187591.25</v>
      </c>
      <c r="J234" s="5" t="n">
        <v>131089.74</v>
      </c>
      <c r="K234" s="5" t="n">
        <v>131089.74</v>
      </c>
      <c r="L234" s="5" t="n">
        <v>0</v>
      </c>
      <c r="M234" s="5" t="n">
        <v>126178.41</v>
      </c>
      <c r="N234" s="5" t="n">
        <v>4911.329999999987</v>
      </c>
      <c r="O234" s="5" t="n">
        <v>4911.329999999987</v>
      </c>
      <c r="P234" s="4" t="n"/>
      <c r="Q234" s="6" t="n">
        <v>0.963</v>
      </c>
      <c r="R234" s="6" t="n">
        <v>0.9625</v>
      </c>
    </row>
    <row r="235">
      <c r="A235" s="4" t="inlineStr">
        <is>
          <t>24-PC-41886</t>
        </is>
      </c>
      <c r="B235" s="4" t="inlineStr">
        <is>
          <t>On-Call: Pebble Beach Road Canal Lining Section 106 Consultation</t>
        </is>
      </c>
      <c r="C235" s="4" t="inlineStr">
        <is>
          <t>Final Reporting/Review</t>
        </is>
      </c>
      <c r="D235" s="4" t="inlineStr">
        <is>
          <t>Time and material</t>
        </is>
      </c>
      <c r="E235" s="4" t="inlineStr">
        <is>
          <t>Built Environment</t>
        </is>
      </c>
      <c r="F235" s="4" t="inlineStr">
        <is>
          <t>Melody Holloway</t>
        </is>
      </c>
      <c r="G235" s="5" t="n">
        <v>67500</v>
      </c>
      <c r="H235" s="5" t="n">
        <v>43694</v>
      </c>
      <c r="I235" s="5" t="n">
        <v>43694</v>
      </c>
      <c r="J235" s="5" t="n">
        <v>46824.75</v>
      </c>
      <c r="K235" s="5" t="n">
        <v>46824.75</v>
      </c>
      <c r="L235" s="5" t="n">
        <v>0</v>
      </c>
      <c r="M235" s="5" t="n">
        <v>29307.2</v>
      </c>
      <c r="N235" s="5" t="n">
        <v>17517.55</v>
      </c>
      <c r="O235" s="5" t="n">
        <v>17517.55</v>
      </c>
      <c r="P235" s="4" t="n"/>
      <c r="Q235" s="6" t="n">
        <v>0.647</v>
      </c>
      <c r="R235" s="6" t="n">
        <v>0.6259</v>
      </c>
    </row>
    <row r="236">
      <c r="A236" s="4" t="inlineStr">
        <is>
          <t>24-PC-41969</t>
        </is>
      </c>
      <c r="B236" s="4" t="inlineStr">
        <is>
          <t>Windmill Flat Cultural Resources Monitoring</t>
        </is>
      </c>
      <c r="C236" s="4" t="inlineStr">
        <is>
          <t>Final Reporting/Review</t>
        </is>
      </c>
      <c r="D236" s="4" t="inlineStr">
        <is>
          <t>Fixed fee</t>
        </is>
      </c>
      <c r="E236" s="4" t="inlineStr">
        <is>
          <t>Built Environment</t>
        </is>
      </c>
      <c r="F236" s="4" t="inlineStr">
        <is>
          <t>Melody Holloway</t>
        </is>
      </c>
      <c r="G236" s="5" t="n">
        <v>216500</v>
      </c>
      <c r="H236" s="5" t="n">
        <v>143864.25</v>
      </c>
      <c r="I236" s="5" t="n">
        <v>143864.25</v>
      </c>
      <c r="J236" s="5" t="n">
        <v>161335.8</v>
      </c>
      <c r="K236" s="5" t="n">
        <v>161335.8</v>
      </c>
      <c r="L236" s="5" t="n">
        <v>0</v>
      </c>
      <c r="M236" s="5" t="n">
        <v>107206.67</v>
      </c>
      <c r="N236" s="5" t="n">
        <v>54129.12999999999</v>
      </c>
      <c r="O236" s="5" t="n">
        <v>54129.12999999999</v>
      </c>
      <c r="P236" s="4" t="n"/>
      <c r="Q236" s="6" t="n">
        <v>0.664</v>
      </c>
      <c r="R236" s="6" t="n">
        <v>0.6645</v>
      </c>
    </row>
    <row r="237">
      <c r="A237" s="4" t="inlineStr">
        <is>
          <t>24-PC-42121</t>
        </is>
      </c>
      <c r="B237" s="4" t="inlineStr">
        <is>
          <t>Oak Terrace Substation Maritime Remote Sensing Survey</t>
        </is>
      </c>
      <c r="C237" s="4" t="inlineStr">
        <is>
          <t>In Progress</t>
        </is>
      </c>
      <c r="D237" s="4" t="inlineStr">
        <is>
          <t>Fixed fee</t>
        </is>
      </c>
      <c r="E237" s="4" t="inlineStr">
        <is>
          <t>Built Environment</t>
        </is>
      </c>
      <c r="F237" s="4" t="inlineStr">
        <is>
          <t>Kathleen Cabrera</t>
        </is>
      </c>
      <c r="G237" s="5" t="n">
        <v>267300</v>
      </c>
      <c r="H237" s="5" t="n">
        <v>240703.65</v>
      </c>
      <c r="I237" s="5" t="n">
        <v>240703.65</v>
      </c>
      <c r="J237" s="5" t="n">
        <v>208453.84</v>
      </c>
      <c r="K237" s="5" t="n">
        <v>189453.96</v>
      </c>
      <c r="L237" s="5" t="n">
        <v>18999.88</v>
      </c>
      <c r="M237" s="5" t="n">
        <v>187719.43</v>
      </c>
      <c r="N237" s="5" t="n">
        <v>20734.41</v>
      </c>
      <c r="O237" s="5" t="n">
        <v>1734.529999999999</v>
      </c>
      <c r="P237" s="4" t="n"/>
      <c r="Q237" s="6" t="n">
        <v>0.9</v>
      </c>
      <c r="R237" s="6" t="n">
        <v>0.9005</v>
      </c>
    </row>
    <row r="238">
      <c r="A238" s="4" t="inlineStr">
        <is>
          <t>24-PC-42184</t>
        </is>
      </c>
      <c r="B238" s="4" t="inlineStr">
        <is>
          <t>Phase II: Granite Pass Substation Environmental Review Support</t>
        </is>
      </c>
      <c r="C238" s="4" t="inlineStr">
        <is>
          <t>In Progress</t>
        </is>
      </c>
      <c r="D238" s="4" t="inlineStr">
        <is>
          <t>Fixed fee</t>
        </is>
      </c>
      <c r="E238" s="4" t="inlineStr">
        <is>
          <t>Built Environment</t>
        </is>
      </c>
      <c r="F238" s="4" t="inlineStr">
        <is>
          <t>Rickey Salas</t>
        </is>
      </c>
      <c r="G238" s="5" t="n">
        <v>25600</v>
      </c>
      <c r="H238" s="5" t="n">
        <v>11246.08</v>
      </c>
      <c r="I238" s="5" t="n">
        <v>11246.08</v>
      </c>
      <c r="J238" s="5" t="n">
        <v>17986.56</v>
      </c>
      <c r="K238" s="5" t="n">
        <v>17986.56</v>
      </c>
      <c r="L238" s="5" t="n">
        <v>0</v>
      </c>
      <c r="M238" s="5" t="n">
        <v>7901.19</v>
      </c>
      <c r="N238" s="5" t="n">
        <v>10085.37</v>
      </c>
      <c r="O238" s="5" t="n">
        <v>10085.37</v>
      </c>
      <c r="P238" s="4" t="n"/>
      <c r="Q238" s="6" t="n">
        <v>0.439</v>
      </c>
      <c r="R238" s="6" t="n">
        <v>0.4393</v>
      </c>
    </row>
    <row r="239">
      <c r="A239" s="4" t="inlineStr">
        <is>
          <t>24-PC-42437</t>
        </is>
      </c>
      <c r="B239" s="4" t="inlineStr">
        <is>
          <t>Task Order 36: Wren Hollow Water Main Maritime Remote Sensing Survey</t>
        </is>
      </c>
      <c r="C239" s="4" t="inlineStr">
        <is>
          <t>In Progress</t>
        </is>
      </c>
      <c r="D239" s="4" t="inlineStr">
        <is>
          <t>Time and material</t>
        </is>
      </c>
      <c r="E239" s="4" t="inlineStr">
        <is>
          <t>Paleontology</t>
        </is>
      </c>
      <c r="F239" s="4" t="inlineStr">
        <is>
          <t>Charlene Sparks</t>
        </is>
      </c>
      <c r="G239" s="5" t="n">
        <v>263500</v>
      </c>
      <c r="H239" s="5" t="n">
        <v>179180</v>
      </c>
      <c r="I239" s="5" t="n">
        <v>179180</v>
      </c>
      <c r="J239" s="5" t="n">
        <v>173567.45</v>
      </c>
      <c r="K239" s="5" t="n">
        <v>173567.45</v>
      </c>
      <c r="L239" s="5" t="n">
        <v>0</v>
      </c>
      <c r="M239" s="5" t="n">
        <v>177335</v>
      </c>
      <c r="N239" s="5" t="n">
        <v>-3767.549999999988</v>
      </c>
      <c r="O239" s="5" t="n">
        <v>-3767.549999999988</v>
      </c>
      <c r="P239" s="4" t="n"/>
      <c r="Q239" s="6" t="n">
        <v>0.68</v>
      </c>
      <c r="R239" s="6" t="n">
        <v>1.0217</v>
      </c>
    </row>
    <row r="240">
      <c r="A240" s="4" t="inlineStr">
        <is>
          <t>24-PC-42495</t>
        </is>
      </c>
      <c r="B240" s="4" t="inlineStr">
        <is>
          <t>Kestrel Butte Battery Storage - Cultural Resources Monitoring</t>
        </is>
      </c>
      <c r="C240" s="4" t="inlineStr">
        <is>
          <t>Lab/Curation</t>
        </is>
      </c>
      <c r="D240" s="4" t="inlineStr">
        <is>
          <t>Fixed fee</t>
        </is>
      </c>
      <c r="E240" s="4" t="inlineStr">
        <is>
          <t>Paleontology</t>
        </is>
      </c>
      <c r="F240" s="4" t="inlineStr">
        <is>
          <t>Charlene Sparks</t>
        </is>
      </c>
      <c r="G240" s="5" t="n">
        <v>45900</v>
      </c>
      <c r="H240" s="5" t="n">
        <v>28875.69</v>
      </c>
      <c r="I240" s="5" t="n">
        <v>28875.69</v>
      </c>
      <c r="J240" s="5" t="n">
        <v>35246.61</v>
      </c>
      <c r="K240" s="5" t="n">
        <v>35246.61</v>
      </c>
      <c r="L240" s="5" t="n">
        <v>0</v>
      </c>
      <c r="M240" s="5" t="n">
        <v>22172.99</v>
      </c>
      <c r="N240" s="5" t="n">
        <v>13073.62</v>
      </c>
      <c r="O240" s="5" t="n">
        <v>13073.62</v>
      </c>
      <c r="P240" s="4" t="n"/>
      <c r="Q240" s="6" t="n">
        <v>0.629</v>
      </c>
      <c r="R240" s="6" t="n">
        <v>0.6291</v>
      </c>
    </row>
    <row r="241">
      <c r="A241" s="4" t="inlineStr">
        <is>
          <t>24-PC-42550</t>
        </is>
      </c>
      <c r="B241" s="4" t="inlineStr">
        <is>
          <t>Yarrow Point Paleontological Monitoring</t>
        </is>
      </c>
      <c r="C241" s="4" t="inlineStr">
        <is>
          <t>In Progress</t>
        </is>
      </c>
      <c r="D241" s="4" t="inlineStr">
        <is>
          <t>Fixed fee</t>
        </is>
      </c>
      <c r="E241" s="4" t="inlineStr">
        <is>
          <t>Paleontology</t>
        </is>
      </c>
      <c r="F241" s="4" t="inlineStr">
        <is>
          <t>Travis Delgado</t>
        </is>
      </c>
      <c r="G241" s="5" t="n">
        <v>301300</v>
      </c>
      <c r="H241" s="5" t="n">
        <v>201810.74</v>
      </c>
      <c r="I241" s="5" t="n">
        <v>200636.36</v>
      </c>
      <c r="J241" s="5" t="n">
        <v>216936</v>
      </c>
      <c r="K241" s="5" t="n">
        <v>216936</v>
      </c>
      <c r="L241" s="5" t="n">
        <v>0</v>
      </c>
      <c r="M241" s="5" t="n">
        <v>145304.58</v>
      </c>
      <c r="N241" s="5" t="n">
        <v>71631.42000000001</v>
      </c>
      <c r="O241" s="5" t="n">
        <v>71631.42000000001</v>
      </c>
      <c r="P241" s="4" t="n"/>
      <c r="Q241" s="6" t="n">
        <v>0.67</v>
      </c>
      <c r="R241" s="6" t="n">
        <v>0.6698</v>
      </c>
    </row>
    <row r="242">
      <c r="A242" s="4" t="inlineStr">
        <is>
          <t>24-PC-42674</t>
        </is>
      </c>
      <c r="B242" s="4" t="inlineStr">
        <is>
          <t>Foxglove Canal Lining Architectural History Survey</t>
        </is>
      </c>
      <c r="C242" s="4" t="inlineStr">
        <is>
          <t>Lab/Curation</t>
        </is>
      </c>
      <c r="D242" s="4" t="inlineStr">
        <is>
          <t>Time and material</t>
        </is>
      </c>
      <c r="E242" s="4" t="inlineStr">
        <is>
          <t>Maritime</t>
        </is>
      </c>
      <c r="F242" s="4" t="inlineStr">
        <is>
          <t>Rita Ayala</t>
        </is>
      </c>
      <c r="G242" s="5" t="n">
        <v>156100</v>
      </c>
      <c r="H242" s="5" t="n">
        <v>106148</v>
      </c>
      <c r="I242" s="5" t="n">
        <v>106148</v>
      </c>
      <c r="J242" s="5" t="n">
        <v>111589.34</v>
      </c>
      <c r="K242" s="5" t="n">
        <v>92586.34</v>
      </c>
      <c r="L242" s="5" t="n">
        <v>19003</v>
      </c>
      <c r="M242" s="5" t="n">
        <v>57675.71</v>
      </c>
      <c r="N242" s="5" t="n">
        <v>53913.63</v>
      </c>
      <c r="O242" s="5" t="n">
        <v>34910.63</v>
      </c>
      <c r="P242" s="4" t="n"/>
      <c r="Q242" s="6" t="n">
        <v>0.68</v>
      </c>
      <c r="R242" s="6" t="n">
        <v>0.5169</v>
      </c>
    </row>
    <row r="243">
      <c r="A243" s="4" t="inlineStr">
        <is>
          <t>24-PC-43044</t>
        </is>
      </c>
      <c r="B243" s="4" t="inlineStr">
        <is>
          <t>Plover Cove Airport Apron Historic Resources Evaluation</t>
        </is>
      </c>
      <c r="C243" s="4" t="inlineStr">
        <is>
          <t>In Progress</t>
        </is>
      </c>
      <c r="D243" s="4" t="inlineStr">
        <is>
          <t>Fixed fee</t>
        </is>
      </c>
      <c r="E243" s="4" t="inlineStr">
        <is>
          <t>Geospatial</t>
        </is>
      </c>
      <c r="F243" s="4" t="inlineStr">
        <is>
          <t>Sylvia Callahan</t>
        </is>
      </c>
      <c r="G243" s="5" t="n">
        <v>639100</v>
      </c>
      <c r="H243" s="5" t="n">
        <v>451268.51</v>
      </c>
      <c r="I243" s="5" t="n">
        <v>451268.51</v>
      </c>
      <c r="J243" s="5" t="n">
        <v>498050.63</v>
      </c>
      <c r="K243" s="5" t="n">
        <v>498050.63</v>
      </c>
      <c r="L243" s="5" t="n">
        <v>0</v>
      </c>
      <c r="M243" s="5" t="n">
        <v>351673.07</v>
      </c>
      <c r="N243" s="5" t="n">
        <v>146377.56</v>
      </c>
      <c r="O243" s="5" t="n">
        <v>146377.56</v>
      </c>
      <c r="P243" s="4" t="n"/>
      <c r="Q243" s="6" t="n">
        <v>0.706</v>
      </c>
      <c r="R243" s="6" t="n">
        <v>0.7060999999999999</v>
      </c>
    </row>
    <row r="244">
      <c r="A244" s="4" t="inlineStr">
        <is>
          <t>24-PC-43116</t>
        </is>
      </c>
      <c r="B244" s="4" t="inlineStr">
        <is>
          <t>On-Call: Larkspur Airport Apron Phase II Testing</t>
        </is>
      </c>
      <c r="C244" s="4" t="inlineStr">
        <is>
          <t>Final Reporting/Review</t>
        </is>
      </c>
      <c r="D244" s="4" t="inlineStr">
        <is>
          <t>Fixed fee</t>
        </is>
      </c>
      <c r="E244" s="4" t="inlineStr">
        <is>
          <t>Geospatial</t>
        </is>
      </c>
      <c r="F244" s="4" t="inlineStr">
        <is>
          <t>Sylvia Callahan</t>
        </is>
      </c>
      <c r="G244" s="5" t="n">
        <v>424400</v>
      </c>
      <c r="H244" s="5" t="n">
        <v>287318.8</v>
      </c>
      <c r="I244" s="5" t="n">
        <v>287318.8</v>
      </c>
      <c r="J244" s="5" t="n">
        <v>314395.52</v>
      </c>
      <c r="K244" s="5" t="n">
        <v>314395.52</v>
      </c>
      <c r="L244" s="5" t="n">
        <v>0</v>
      </c>
      <c r="M244" s="5" t="n">
        <v>212843.45</v>
      </c>
      <c r="N244" s="5" t="n">
        <v>101552.07</v>
      </c>
      <c r="O244" s="5" t="n">
        <v>101552.07</v>
      </c>
      <c r="P244" s="4" t="n"/>
      <c r="Q244" s="6" t="n">
        <v>0.677</v>
      </c>
      <c r="R244" s="6" t="n">
        <v>0.677</v>
      </c>
    </row>
    <row r="245">
      <c r="A245" s="4" t="inlineStr">
        <is>
          <t>24-PC-43150</t>
        </is>
      </c>
      <c r="B245" s="4" t="inlineStr">
        <is>
          <t>Rushgrass Draw Architectural History Survey</t>
        </is>
      </c>
      <c r="C245" s="4" t="inlineStr">
        <is>
          <t>In Progress</t>
        </is>
      </c>
      <c r="D245" s="4" t="inlineStr">
        <is>
          <t>Fixed fee</t>
        </is>
      </c>
      <c r="E245" s="4" t="inlineStr">
        <is>
          <t>Geospatial</t>
        </is>
      </c>
      <c r="F245" s="4" t="inlineStr">
        <is>
          <t>Sylvia Callahan</t>
        </is>
      </c>
      <c r="G245" s="5" t="n">
        <v>301500</v>
      </c>
      <c r="H245" s="5" t="n">
        <v>244848.15</v>
      </c>
      <c r="I245" s="5" t="n">
        <v>244848.15</v>
      </c>
      <c r="J245" s="5" t="n">
        <v>222689.15</v>
      </c>
      <c r="K245" s="5" t="n">
        <v>196120.08</v>
      </c>
      <c r="L245" s="5" t="n">
        <v>26569.07</v>
      </c>
      <c r="M245" s="5" t="n">
        <v>180855.17</v>
      </c>
      <c r="N245" s="5" t="n">
        <v>41833.97999999998</v>
      </c>
      <c r="O245" s="5" t="n">
        <v>15264.90999999997</v>
      </c>
      <c r="P245" s="4" t="n"/>
      <c r="Q245" s="6" t="n">
        <v>0.8120000000000001</v>
      </c>
      <c r="R245" s="6" t="n">
        <v>0.8121</v>
      </c>
    </row>
    <row r="246">
      <c r="A246" s="4" t="inlineStr">
        <is>
          <t>24-PC-43157</t>
        </is>
      </c>
      <c r="B246" s="4" t="inlineStr">
        <is>
          <t>Thistle Down Solar - Maritime Remote Sensing Survey</t>
        </is>
      </c>
      <c r="C246" s="4" t="inlineStr">
        <is>
          <t>In Progress</t>
        </is>
      </c>
      <c r="D246" s="4" t="inlineStr">
        <is>
          <t>Time and material</t>
        </is>
      </c>
      <c r="E246" s="4" t="inlineStr">
        <is>
          <t>Geospatial</t>
        </is>
      </c>
      <c r="F246" s="4" t="inlineStr">
        <is>
          <t>Sylvia Callahan</t>
        </is>
      </c>
      <c r="G246" s="5" t="n">
        <v>19700</v>
      </c>
      <c r="H246" s="5" t="n">
        <v>13396</v>
      </c>
      <c r="I246" s="5" t="n">
        <v>13396</v>
      </c>
      <c r="J246" s="5" t="n">
        <v>14170.21</v>
      </c>
      <c r="K246" s="5" t="n">
        <v>14170.21</v>
      </c>
      <c r="L246" s="5" t="n">
        <v>0</v>
      </c>
      <c r="M246" s="5" t="n">
        <v>18919.28</v>
      </c>
      <c r="N246" s="5" t="n">
        <v>-4749.07</v>
      </c>
      <c r="O246" s="5" t="n">
        <v>-4749.07</v>
      </c>
      <c r="P246" s="4" t="n"/>
      <c r="Q246" s="6" t="n">
        <v>0.68</v>
      </c>
      <c r="R246" s="6" t="n">
        <v>1.3351</v>
      </c>
    </row>
    <row r="247">
      <c r="A247" s="4" t="inlineStr">
        <is>
          <t>24-PC-43670</t>
        </is>
      </c>
      <c r="B247" s="4" t="inlineStr">
        <is>
          <t>Granite Pass Archaeological Testing</t>
        </is>
      </c>
      <c r="C247" s="4" t="inlineStr">
        <is>
          <t>Final Reporting/Review</t>
        </is>
      </c>
      <c r="D247" s="4" t="inlineStr">
        <is>
          <t>Fixed fee</t>
        </is>
      </c>
      <c r="E247" s="4" t="inlineStr">
        <is>
          <t>Meridian Southwest</t>
        </is>
      </c>
      <c r="F247" s="4" t="inlineStr">
        <is>
          <t>Lynn Tran</t>
        </is>
      </c>
      <c r="G247" s="5" t="n">
        <v>220400</v>
      </c>
      <c r="H247" s="5" t="n">
        <v>155514.24</v>
      </c>
      <c r="I247" s="5" t="n">
        <v>155514.24</v>
      </c>
      <c r="J247" s="5" t="n">
        <v>168565.52</v>
      </c>
      <c r="K247" s="5" t="n">
        <v>153066.64</v>
      </c>
      <c r="L247" s="5" t="n">
        <v>15498.88</v>
      </c>
      <c r="M247" s="5" t="n">
        <v>118945.86</v>
      </c>
      <c r="N247" s="5" t="n">
        <v>49619.65999999999</v>
      </c>
      <c r="O247" s="5" t="n">
        <v>34120.78000000001</v>
      </c>
      <c r="P247" s="4" t="n"/>
      <c r="Q247" s="6" t="n">
        <v>0.706</v>
      </c>
      <c r="R247" s="6" t="n">
        <v>0.7056</v>
      </c>
    </row>
    <row r="248">
      <c r="A248" s="4" t="inlineStr">
        <is>
          <t>24-PC-43715</t>
        </is>
      </c>
      <c r="B248" s="4" t="inlineStr">
        <is>
          <t>Tamarack Fiber Route - Cultural Resources Monitoring</t>
        </is>
      </c>
      <c r="C248" s="4" t="inlineStr">
        <is>
          <t>In Progress</t>
        </is>
      </c>
      <c r="D248" s="4" t="inlineStr">
        <is>
          <t>Time and material</t>
        </is>
      </c>
      <c r="E248" s="4" t="inlineStr">
        <is>
          <t>Meridian Southwest</t>
        </is>
      </c>
      <c r="F248" s="4" t="inlineStr">
        <is>
          <t>Lynn Tran</t>
        </is>
      </c>
      <c r="G248" s="5" t="n">
        <v>1003600</v>
      </c>
      <c r="H248" s="5" t="n">
        <v>682448</v>
      </c>
      <c r="I248" s="5" t="n">
        <v>682448</v>
      </c>
      <c r="J248" s="5" t="n">
        <v>771166.24</v>
      </c>
      <c r="K248" s="5" t="n">
        <v>771166.24</v>
      </c>
      <c r="L248" s="5" t="n">
        <v>0</v>
      </c>
      <c r="M248" s="5" t="n">
        <v>614867.84</v>
      </c>
      <c r="N248" s="5" t="n">
        <v>156298.4</v>
      </c>
      <c r="O248" s="5" t="n">
        <v>156298.4</v>
      </c>
      <c r="P248" s="4" t="n"/>
      <c r="Q248" s="6" t="n">
        <v>0.68</v>
      </c>
      <c r="R248" s="6" t="n">
        <v>0.7973</v>
      </c>
    </row>
    <row r="249">
      <c r="A249" s="4" t="inlineStr">
        <is>
          <t>24-PC-43719</t>
        </is>
      </c>
      <c r="B249" s="4" t="inlineStr">
        <is>
          <t>On-Call: Juniper Wash Wastewater Plant Historic Resources Evaluation</t>
        </is>
      </c>
      <c r="C249" s="4" t="inlineStr">
        <is>
          <t>Final Reporting/Review</t>
        </is>
      </c>
      <c r="D249" s="4" t="inlineStr">
        <is>
          <t>Time and material</t>
        </is>
      </c>
      <c r="E249" s="4" t="inlineStr">
        <is>
          <t>Meridian Southwest</t>
        </is>
      </c>
      <c r="F249" s="4" t="inlineStr">
        <is>
          <t>Harold Chaney</t>
        </is>
      </c>
      <c r="G249" s="5" t="n">
        <v>382100</v>
      </c>
      <c r="H249" s="5" t="n">
        <v>259828</v>
      </c>
      <c r="I249" s="5" t="n">
        <v>259828</v>
      </c>
      <c r="J249" s="5" t="n">
        <v>239599.17</v>
      </c>
      <c r="K249" s="5" t="n">
        <v>197376</v>
      </c>
      <c r="L249" s="5" t="n">
        <v>42223.17</v>
      </c>
      <c r="M249" s="5" t="n">
        <v>170624.75</v>
      </c>
      <c r="N249" s="5" t="n">
        <v>68974.42000000001</v>
      </c>
      <c r="O249" s="5" t="n">
        <v>26751.25</v>
      </c>
      <c r="P249" s="4" t="n"/>
      <c r="Q249" s="6" t="n">
        <v>0.68</v>
      </c>
      <c r="R249" s="6" t="n">
        <v>0.7121</v>
      </c>
    </row>
    <row r="250">
      <c r="A250" s="4" t="inlineStr">
        <is>
          <t>24-PC-43786</t>
        </is>
      </c>
      <c r="B250" s="4" t="inlineStr">
        <is>
          <t>Task Order 3: Wren Hollow Canal Lining Architectural History Survey</t>
        </is>
      </c>
      <c r="C250" s="4" t="inlineStr">
        <is>
          <t>Lab/Curation</t>
        </is>
      </c>
      <c r="D250" s="4" t="inlineStr">
        <is>
          <t>Fixed fee</t>
        </is>
      </c>
      <c r="E250" s="4" t="inlineStr">
        <is>
          <t>Meridian Southwest</t>
        </is>
      </c>
      <c r="F250" s="4" t="inlineStr">
        <is>
          <t>Alan Gay</t>
        </is>
      </c>
      <c r="G250" s="5" t="n">
        <v>220400</v>
      </c>
      <c r="H250" s="5" t="n">
        <v>144053.44</v>
      </c>
      <c r="I250" s="5" t="n">
        <v>144053.44</v>
      </c>
      <c r="J250" s="5" t="n">
        <v>123791.36</v>
      </c>
      <c r="K250" s="5" t="n">
        <v>113687.28</v>
      </c>
      <c r="L250" s="5" t="n">
        <v>10104.08</v>
      </c>
      <c r="M250" s="5" t="n">
        <v>80906.2</v>
      </c>
      <c r="N250" s="5" t="n">
        <v>42885.16</v>
      </c>
      <c r="O250" s="5" t="n">
        <v>32781.08</v>
      </c>
      <c r="P250" s="4" t="n"/>
      <c r="Q250" s="6" t="n">
        <v>0.654</v>
      </c>
      <c r="R250" s="6" t="n">
        <v>0.6536</v>
      </c>
    </row>
    <row r="251">
      <c r="A251" s="4" t="inlineStr">
        <is>
          <t>24-PC-43877</t>
        </is>
      </c>
      <c r="B251" s="4" t="inlineStr">
        <is>
          <t>Wren Hollow Canal Lining Maritime Remote Sensing Survey</t>
        </is>
      </c>
      <c r="C251" s="4" t="inlineStr">
        <is>
          <t>Transferred Entity</t>
        </is>
      </c>
      <c r="D251" s="4" t="inlineStr">
        <is>
          <t>Fixed fee</t>
        </is>
      </c>
      <c r="E251" s="4" t="inlineStr">
        <is>
          <t>NH Gulf (USD)</t>
        </is>
      </c>
      <c r="F251" s="4" t="inlineStr">
        <is>
          <t>Vanessa Duarte</t>
        </is>
      </c>
      <c r="G251" s="5" t="n">
        <v>213100</v>
      </c>
      <c r="H251" s="5" t="n">
        <v>152792.6986666667</v>
      </c>
      <c r="I251" s="5" t="n">
        <v>152792.6986666667</v>
      </c>
      <c r="J251" s="5" t="n">
        <v>187528</v>
      </c>
      <c r="K251" s="5" t="n">
        <v>187528</v>
      </c>
      <c r="L251" s="5" t="n">
        <v>0</v>
      </c>
      <c r="M251" s="5" t="n">
        <v>134454.77</v>
      </c>
      <c r="N251" s="5" t="n">
        <v>53073.23000000001</v>
      </c>
      <c r="O251" s="5" t="n">
        <v>53073.23000000001</v>
      </c>
      <c r="P251" s="4" t="n"/>
      <c r="Q251" s="6" t="n">
        <v>0.7169999937431566</v>
      </c>
      <c r="R251" s="6" t="n">
        <v>0.716985036901156</v>
      </c>
    </row>
    <row r="252">
      <c r="A252" s="4" t="inlineStr">
        <is>
          <t>24-PC-44022</t>
        </is>
      </c>
      <c r="B252" s="4" t="inlineStr">
        <is>
          <t>Sea Oat Historic Resources Evaluation</t>
        </is>
      </c>
      <c r="C252" s="4" t="inlineStr">
        <is>
          <t>Transferred Entity</t>
        </is>
      </c>
      <c r="D252" s="4" t="inlineStr">
        <is>
          <t>Time and material</t>
        </is>
      </c>
      <c r="E252" s="4" t="inlineStr">
        <is>
          <t>NH Gulf (USD)</t>
        </is>
      </c>
      <c r="F252" s="4" t="inlineStr">
        <is>
          <t>Vanessa Duarte</t>
        </is>
      </c>
      <c r="G252" s="5" t="n">
        <v>1072900</v>
      </c>
      <c r="H252" s="5" t="n">
        <v>729572</v>
      </c>
      <c r="I252" s="5" t="n">
        <v>729572</v>
      </c>
      <c r="J252" s="5" t="n">
        <v>625022.97</v>
      </c>
      <c r="K252" s="5" t="n">
        <v>541701.35</v>
      </c>
      <c r="L252" s="5" t="n">
        <v>83321.62</v>
      </c>
      <c r="M252" s="5" t="n">
        <v>345106.15</v>
      </c>
      <c r="N252" s="5" t="n">
        <v>279916.8199999999</v>
      </c>
      <c r="O252" s="5" t="n">
        <v>196595.2</v>
      </c>
      <c r="P252" s="4" t="n"/>
      <c r="Q252" s="6" t="n">
        <v>0.68</v>
      </c>
      <c r="R252" s="6" t="n">
        <v>0.552149547399834</v>
      </c>
    </row>
    <row r="253">
      <c r="A253" s="4" t="inlineStr">
        <is>
          <t>24-PC-44113</t>
        </is>
      </c>
      <c r="B253" s="4" t="inlineStr">
        <is>
          <t>Cedar Hollow Airport Apron - Paleontological Monitoring</t>
        </is>
      </c>
      <c r="C253" s="4" t="inlineStr">
        <is>
          <t>Transferred Entity</t>
        </is>
      </c>
      <c r="D253" s="4" t="inlineStr">
        <is>
          <t>Time and material</t>
        </is>
      </c>
      <c r="E253" s="4" t="inlineStr">
        <is>
          <t>NH Gulf (USD)</t>
        </is>
      </c>
      <c r="F253" s="4" t="inlineStr">
        <is>
          <t>Susan Wilkins</t>
        </is>
      </c>
      <c r="G253" s="5" t="n">
        <v>264500</v>
      </c>
      <c r="H253" s="5" t="n">
        <v>264500</v>
      </c>
      <c r="I253" s="5" t="n">
        <v>256769.1786666667</v>
      </c>
      <c r="J253" s="5" t="n">
        <v>194222.35</v>
      </c>
      <c r="K253" s="5" t="n">
        <v>194222.35</v>
      </c>
      <c r="L253" s="5" t="n">
        <v>0</v>
      </c>
      <c r="M253" s="5" t="n">
        <v>246339.6193333333</v>
      </c>
      <c r="N253" s="5" t="n">
        <v>-52117.26933333333</v>
      </c>
      <c r="O253" s="5" t="n">
        <v>-52117.26933333333</v>
      </c>
      <c r="P253" s="4" t="n"/>
      <c r="Q253" s="6" t="n">
        <v>1</v>
      </c>
      <c r="R253" s="6" t="n">
        <v>1.26833816671116</v>
      </c>
    </row>
    <row r="254">
      <c r="A254" s="4" t="inlineStr">
        <is>
          <t>24-PC-44158</t>
        </is>
      </c>
      <c r="B254" s="4" t="inlineStr">
        <is>
          <t>Saltgrass Environmental Review Support</t>
        </is>
      </c>
      <c r="C254" s="4" t="inlineStr">
        <is>
          <t>Transferred Entity</t>
        </is>
      </c>
      <c r="D254" s="4" t="inlineStr">
        <is>
          <t>Fixed fee</t>
        </is>
      </c>
      <c r="E254" s="4" t="inlineStr">
        <is>
          <t>NH Gulf (USD)</t>
        </is>
      </c>
      <c r="F254" s="4" t="inlineStr">
        <is>
          <t>Vanessa Duarte</t>
        </is>
      </c>
      <c r="G254" s="5" t="n">
        <v>23200</v>
      </c>
      <c r="H254" s="5" t="n">
        <v>23200</v>
      </c>
      <c r="I254" s="5" t="n">
        <v>23148.01066666667</v>
      </c>
      <c r="J254" s="5" t="n">
        <v>15583.44</v>
      </c>
      <c r="K254" s="5" t="n">
        <v>15583.44</v>
      </c>
      <c r="L254" s="5" t="n">
        <v>0</v>
      </c>
      <c r="M254" s="5" t="n">
        <v>16044.04</v>
      </c>
      <c r="N254" s="5" t="n">
        <v>-460.6000000000004</v>
      </c>
      <c r="O254" s="5" t="n">
        <v>-460.6000000000004</v>
      </c>
      <c r="P254" s="4" t="n"/>
      <c r="Q254" s="6" t="n">
        <v>1</v>
      </c>
      <c r="R254" s="6" t="n">
        <v>1.029557016935927</v>
      </c>
    </row>
    <row r="255">
      <c r="A255" s="4" t="inlineStr">
        <is>
          <t>25-PC-30034</t>
        </is>
      </c>
      <c r="B255" s="4" t="inlineStr">
        <is>
          <t>On-Call: Wren Hollow Wastewater Plant GIS Mapping</t>
        </is>
      </c>
      <c r="C255" s="4" t="inlineStr">
        <is>
          <t>Final Reporting/Review</t>
        </is>
      </c>
      <c r="D255" s="4" t="inlineStr">
        <is>
          <t>Fixed fee</t>
        </is>
      </c>
      <c r="E255" s="4" t="inlineStr">
        <is>
          <t>Big Sky</t>
        </is>
      </c>
      <c r="F255" s="4" t="inlineStr">
        <is>
          <t>Bob Frye</t>
        </is>
      </c>
      <c r="G255" s="5" t="n">
        <v>101900</v>
      </c>
      <c r="H255" s="5" t="n">
        <v>69842.25999999999</v>
      </c>
      <c r="I255" s="5" t="n">
        <v>69842.25999999999</v>
      </c>
      <c r="J255" s="5" t="n">
        <v>74162.82000000001</v>
      </c>
      <c r="K255" s="5" t="n">
        <v>74162.82000000001</v>
      </c>
      <c r="L255" s="5" t="n">
        <v>0</v>
      </c>
      <c r="M255" s="5" t="n">
        <v>50829.46</v>
      </c>
      <c r="N255" s="5" t="n">
        <v>23333.36000000001</v>
      </c>
      <c r="O255" s="5" t="n">
        <v>23333.36000000001</v>
      </c>
      <c r="P255" s="4" t="n"/>
      <c r="Q255" s="6" t="n">
        <v>0.6850000000000001</v>
      </c>
      <c r="R255" s="6" t="n">
        <v>0.6854</v>
      </c>
    </row>
    <row r="256">
      <c r="A256" s="4" t="inlineStr">
        <is>
          <t>25-PC-30077</t>
        </is>
      </c>
      <c r="B256" s="4" t="inlineStr">
        <is>
          <t>Phase II: Tamarack Housing Development Phase I Survey</t>
        </is>
      </c>
      <c r="C256" s="4" t="inlineStr">
        <is>
          <t>In Progress</t>
        </is>
      </c>
      <c r="D256" s="4" t="inlineStr">
        <is>
          <t>Time and material</t>
        </is>
      </c>
      <c r="E256" s="4" t="inlineStr">
        <is>
          <t>Big Sky</t>
        </is>
      </c>
      <c r="F256" s="4" t="inlineStr">
        <is>
          <t>Carl Barajas</t>
        </is>
      </c>
      <c r="G256" s="5" t="n">
        <v>103400</v>
      </c>
      <c r="H256" s="5" t="n">
        <v>103400</v>
      </c>
      <c r="I256" s="5" t="n">
        <v>103400</v>
      </c>
      <c r="J256" s="5" t="n">
        <v>71293.10000000001</v>
      </c>
      <c r="K256" s="5" t="n">
        <v>51740.95</v>
      </c>
      <c r="L256" s="5" t="n">
        <v>19552.15</v>
      </c>
      <c r="M256" s="5" t="n">
        <v>65644.00999999999</v>
      </c>
      <c r="N256" s="5" t="n">
        <v>5649.090000000011</v>
      </c>
      <c r="O256" s="5" t="n">
        <v>-13903.06</v>
      </c>
      <c r="P256" s="4" t="n"/>
      <c r="Q256" s="6" t="n">
        <v>1</v>
      </c>
      <c r="R256" s="6" t="n">
        <v>0.9208</v>
      </c>
    </row>
    <row r="257">
      <c r="A257" s="4" t="inlineStr">
        <is>
          <t>25-PC-30140</t>
        </is>
      </c>
      <c r="B257" s="4" t="inlineStr">
        <is>
          <t>Windmill Flat Cell Tower - GIS Mapping</t>
        </is>
      </c>
      <c r="C257" s="4" t="inlineStr">
        <is>
          <t>In Progress</t>
        </is>
      </c>
      <c r="D257" s="4" t="inlineStr">
        <is>
          <t>Time and material</t>
        </is>
      </c>
      <c r="E257" s="4" t="inlineStr">
        <is>
          <t>Big Sky</t>
        </is>
      </c>
      <c r="F257" s="4" t="inlineStr">
        <is>
          <t>Carl Barajas</t>
        </is>
      </c>
      <c r="G257" s="5" t="n">
        <v>257200</v>
      </c>
      <c r="H257" s="5" t="n">
        <v>121129.05</v>
      </c>
      <c r="I257" s="5" t="n">
        <v>121129.05</v>
      </c>
      <c r="J257" s="5" t="n">
        <v>165353.88</v>
      </c>
      <c r="K257" s="5" t="n">
        <v>165353.88</v>
      </c>
      <c r="L257" s="5" t="n">
        <v>0</v>
      </c>
      <c r="M257" s="5" t="n">
        <v>95517.33</v>
      </c>
      <c r="N257" s="5" t="n">
        <v>69836.55</v>
      </c>
      <c r="O257" s="5" t="n">
        <v>69836.55</v>
      </c>
      <c r="P257" s="4" t="n"/>
      <c r="Q257" s="6" t="n">
        <v>0.471</v>
      </c>
      <c r="R257" s="6" t="n">
        <v>0.5777</v>
      </c>
    </row>
    <row r="258">
      <c r="A258" s="4" t="inlineStr">
        <is>
          <t>25-PC-30254</t>
        </is>
      </c>
      <c r="B258" s="4" t="inlineStr">
        <is>
          <t>Task Order 16: Coyote Springs Reservoir Class III Survey</t>
        </is>
      </c>
      <c r="C258" s="4" t="inlineStr">
        <is>
          <t>Final Reporting/Review</t>
        </is>
      </c>
      <c r="D258" s="4" t="inlineStr">
        <is>
          <t>Time and material</t>
        </is>
      </c>
      <c r="E258" s="4" t="inlineStr">
        <is>
          <t>Big Sky</t>
        </is>
      </c>
      <c r="F258" s="4" t="inlineStr">
        <is>
          <t>Brendan Melton</t>
        </is>
      </c>
      <c r="G258" s="5" t="n">
        <v>77100</v>
      </c>
      <c r="H258" s="5" t="n">
        <v>51372.6</v>
      </c>
      <c r="I258" s="5" t="n">
        <v>51372.6</v>
      </c>
      <c r="J258" s="5" t="n">
        <v>49529.04</v>
      </c>
      <c r="K258" s="5" t="n">
        <v>49529.04</v>
      </c>
      <c r="L258" s="5" t="n">
        <v>0</v>
      </c>
      <c r="M258" s="5" t="n">
        <v>35308.95</v>
      </c>
      <c r="N258" s="5" t="n">
        <v>14220.09</v>
      </c>
      <c r="O258" s="5" t="n">
        <v>14220.09</v>
      </c>
      <c r="P258" s="4" t="n"/>
      <c r="Q258" s="6" t="n">
        <v>0.666</v>
      </c>
      <c r="R258" s="6" t="n">
        <v>0.7129</v>
      </c>
    </row>
    <row r="259">
      <c r="A259" s="4" t="inlineStr">
        <is>
          <t>25-PC-30345</t>
        </is>
      </c>
      <c r="B259" s="4" t="inlineStr">
        <is>
          <t>Wildrye Phase II Testing</t>
        </is>
      </c>
      <c r="C259" s="4" t="inlineStr">
        <is>
          <t>In Progress</t>
        </is>
      </c>
      <c r="D259" s="4" t="inlineStr">
        <is>
          <t>Fixed fee</t>
        </is>
      </c>
      <c r="E259" s="4" t="inlineStr">
        <is>
          <t>Big Sky</t>
        </is>
      </c>
      <c r="F259" s="4" t="inlineStr">
        <is>
          <t>Brendan Melton</t>
        </is>
      </c>
      <c r="G259" s="5" t="n">
        <v>160400</v>
      </c>
      <c r="H259" s="5" t="n">
        <v>130998.68</v>
      </c>
      <c r="I259" s="5" t="n">
        <v>130998.68</v>
      </c>
      <c r="J259" s="5" t="n">
        <v>92631</v>
      </c>
      <c r="K259" s="5" t="n">
        <v>92631</v>
      </c>
      <c r="L259" s="5" t="n">
        <v>0</v>
      </c>
      <c r="M259" s="5" t="n">
        <v>75656.14</v>
      </c>
      <c r="N259" s="5" t="n">
        <v>16974.86</v>
      </c>
      <c r="O259" s="5" t="n">
        <v>16974.86</v>
      </c>
      <c r="P259" s="4" t="n"/>
      <c r="Q259" s="6" t="n">
        <v>0.8169999999999999</v>
      </c>
      <c r="R259" s="6" t="n">
        <v>0.8167</v>
      </c>
    </row>
    <row r="260">
      <c r="A260" s="4" t="inlineStr">
        <is>
          <t>25-PC-30348</t>
        </is>
      </c>
      <c r="B260" s="4" t="inlineStr">
        <is>
          <t>Phase II: Pine Hollow Wind Farm Environmental Review Support</t>
        </is>
      </c>
      <c r="C260" s="4" t="inlineStr">
        <is>
          <t>In Progress</t>
        </is>
      </c>
      <c r="D260" s="4" t="inlineStr">
        <is>
          <t>Fixed fee</t>
        </is>
      </c>
      <c r="E260" s="4" t="inlineStr">
        <is>
          <t>Big Sky</t>
        </is>
      </c>
      <c r="F260" s="4" t="inlineStr">
        <is>
          <t>Carl Barajas</t>
        </is>
      </c>
      <c r="G260" s="5" t="n">
        <v>20800</v>
      </c>
      <c r="H260" s="5" t="n">
        <v>13345.28</v>
      </c>
      <c r="I260" s="5" t="n">
        <v>13345.28</v>
      </c>
      <c r="J260" s="5" t="n">
        <v>15194.4</v>
      </c>
      <c r="K260" s="5" t="n">
        <v>15194.4</v>
      </c>
      <c r="L260" s="5" t="n">
        <v>0</v>
      </c>
      <c r="M260" s="5" t="n">
        <v>9749.450000000001</v>
      </c>
      <c r="N260" s="5" t="n">
        <v>5444.949999999999</v>
      </c>
      <c r="O260" s="5" t="n">
        <v>5444.949999999999</v>
      </c>
      <c r="P260" s="4" t="n"/>
      <c r="Q260" s="6" t="n">
        <v>0.642</v>
      </c>
      <c r="R260" s="6" t="n">
        <v>0.6415999999999999</v>
      </c>
    </row>
    <row r="261">
      <c r="A261" s="4" t="inlineStr">
        <is>
          <t>25-PC-30418</t>
        </is>
      </c>
      <c r="B261" s="4" t="inlineStr">
        <is>
          <t>Dove Canyon Wind Farm Class III Survey</t>
        </is>
      </c>
      <c r="C261" s="4" t="inlineStr">
        <is>
          <t>Final Reporting/Review</t>
        </is>
      </c>
      <c r="D261" s="4" t="inlineStr">
        <is>
          <t>Fixed fee</t>
        </is>
      </c>
      <c r="E261" s="4" t="inlineStr">
        <is>
          <t>Big Sky</t>
        </is>
      </c>
      <c r="F261" s="4" t="inlineStr">
        <is>
          <t>Brendan Melton</t>
        </is>
      </c>
      <c r="G261" s="5" t="n">
        <v>344800</v>
      </c>
      <c r="H261" s="5" t="n">
        <v>249221.44</v>
      </c>
      <c r="I261" s="5" t="n">
        <v>249221.44</v>
      </c>
      <c r="J261" s="5" t="n">
        <v>233309.47</v>
      </c>
      <c r="K261" s="5" t="n">
        <v>170518.18</v>
      </c>
      <c r="L261" s="5" t="n">
        <v>62791.29</v>
      </c>
      <c r="M261" s="5" t="n">
        <v>168637.5</v>
      </c>
      <c r="N261" s="5" t="n">
        <v>64671.97</v>
      </c>
      <c r="O261" s="5" t="n">
        <v>1880.679999999993</v>
      </c>
      <c r="P261" s="4" t="n"/>
      <c r="Q261" s="6" t="n">
        <v>0.723</v>
      </c>
      <c r="R261" s="6" t="n">
        <v>0.7228</v>
      </c>
    </row>
    <row r="262">
      <c r="A262" s="4" t="inlineStr">
        <is>
          <t>25-PC-30581</t>
        </is>
      </c>
      <c r="B262" s="4" t="inlineStr">
        <is>
          <t>Phase II: Foxglove Harbor Dredging Data Recovery</t>
        </is>
      </c>
      <c r="C262" s="4" t="inlineStr">
        <is>
          <t>In Progress</t>
        </is>
      </c>
      <c r="D262" s="4" t="inlineStr">
        <is>
          <t>Fixed fee</t>
        </is>
      </c>
      <c r="E262" s="4" t="inlineStr">
        <is>
          <t>Bluegrass</t>
        </is>
      </c>
      <c r="F262" s="4" t="inlineStr">
        <is>
          <t>Alice Galloway</t>
        </is>
      </c>
      <c r="G262" s="5" t="n">
        <v>19700</v>
      </c>
      <c r="H262" s="5" t="n">
        <v>19700</v>
      </c>
      <c r="I262" s="5" t="n">
        <v>17105.05</v>
      </c>
      <c r="J262" s="5" t="n">
        <v>13027.61</v>
      </c>
      <c r="K262" s="5" t="n">
        <v>13027.61</v>
      </c>
      <c r="L262" s="5" t="n">
        <v>0</v>
      </c>
      <c r="M262" s="5" t="n">
        <v>13683.52</v>
      </c>
      <c r="N262" s="5" t="n">
        <v>-655.9099999999999</v>
      </c>
      <c r="O262" s="5" t="n">
        <v>-655.9099999999999</v>
      </c>
      <c r="P262" s="4" t="n"/>
      <c r="Q262" s="6" t="n">
        <v>1</v>
      </c>
      <c r="R262" s="6" t="n">
        <v>1.0503</v>
      </c>
    </row>
    <row r="263">
      <c r="A263" s="4" t="inlineStr">
        <is>
          <t>25-PC-30717</t>
        </is>
      </c>
      <c r="B263" s="4" t="inlineStr">
        <is>
          <t>Phase II: Riverbend Cell Tower Built Environment Survey</t>
        </is>
      </c>
      <c r="C263" s="4" t="inlineStr">
        <is>
          <t>In Progress</t>
        </is>
      </c>
      <c r="D263" s="4" t="inlineStr">
        <is>
          <t>Fixed fee</t>
        </is>
      </c>
      <c r="E263" s="4" t="inlineStr">
        <is>
          <t>Bluegrass</t>
        </is>
      </c>
      <c r="F263" s="4" t="inlineStr">
        <is>
          <t>Alice Galloway</t>
        </is>
      </c>
      <c r="G263" s="5" t="n">
        <v>324100</v>
      </c>
      <c r="H263" s="5" t="n">
        <v>274771.98</v>
      </c>
      <c r="I263" s="5" t="n">
        <v>255801.54</v>
      </c>
      <c r="J263" s="5" t="n">
        <v>205678.64</v>
      </c>
      <c r="K263" s="5" t="n">
        <v>166411.98</v>
      </c>
      <c r="L263" s="5" t="n">
        <v>39266.66</v>
      </c>
      <c r="M263" s="5" t="n">
        <v>174373.12</v>
      </c>
      <c r="N263" s="5" t="n">
        <v>31305.52000000002</v>
      </c>
      <c r="O263" s="5" t="n">
        <v>-7961.139999999985</v>
      </c>
      <c r="P263" s="4" t="n"/>
      <c r="Q263" s="6" t="n">
        <v>0.848</v>
      </c>
      <c r="R263" s="6" t="n">
        <v>0.8478</v>
      </c>
    </row>
    <row r="264">
      <c r="A264" s="4" t="inlineStr">
        <is>
          <t>25-PC-30739</t>
        </is>
      </c>
      <c r="B264" s="4" t="inlineStr">
        <is>
          <t>Saltgrass Solar Class III Survey</t>
        </is>
      </c>
      <c r="C264" s="4" t="inlineStr">
        <is>
          <t>Final Reporting/Review</t>
        </is>
      </c>
      <c r="D264" s="4" t="inlineStr">
        <is>
          <t>Fixed fee</t>
        </is>
      </c>
      <c r="E264" s="4" t="inlineStr">
        <is>
          <t>Bluegrass</t>
        </is>
      </c>
      <c r="F264" s="4" t="inlineStr">
        <is>
          <t>Alice Galloway</t>
        </is>
      </c>
      <c r="G264" s="5" t="n">
        <v>244200</v>
      </c>
      <c r="H264" s="5" t="n">
        <v>124346.64</v>
      </c>
      <c r="I264" s="5" t="n">
        <v>124346.64</v>
      </c>
      <c r="J264" s="5" t="n">
        <v>214896</v>
      </c>
      <c r="K264" s="5" t="n">
        <v>214896</v>
      </c>
      <c r="L264" s="5" t="n">
        <v>0</v>
      </c>
      <c r="M264" s="5" t="n">
        <v>109432.28</v>
      </c>
      <c r="N264" s="5" t="n">
        <v>105463.72</v>
      </c>
      <c r="O264" s="5" t="n">
        <v>105463.72</v>
      </c>
      <c r="P264" s="4" t="n"/>
      <c r="Q264" s="6" t="n">
        <v>0.509</v>
      </c>
      <c r="R264" s="6" t="n">
        <v>0.5092</v>
      </c>
    </row>
    <row r="265">
      <c r="A265" s="4" t="inlineStr">
        <is>
          <t>25-PC-30772</t>
        </is>
      </c>
      <c r="B265" s="4" t="inlineStr">
        <is>
          <t>Sea Oat Cultural Resources Assessment</t>
        </is>
      </c>
      <c r="C265" s="4" t="inlineStr">
        <is>
          <t>In Progress</t>
        </is>
      </c>
      <c r="D265" s="4" t="inlineStr">
        <is>
          <t>Fixed fee</t>
        </is>
      </c>
      <c r="E265" s="4" t="inlineStr">
        <is>
          <t>Bluegrass</t>
        </is>
      </c>
      <c r="F265" s="4" t="inlineStr">
        <is>
          <t>Alice Galloway</t>
        </is>
      </c>
      <c r="G265" s="5" t="n">
        <v>63300</v>
      </c>
      <c r="H265" s="5" t="n">
        <v>63300</v>
      </c>
      <c r="I265" s="5" t="n">
        <v>63300</v>
      </c>
      <c r="J265" s="5" t="n">
        <v>43065.84</v>
      </c>
      <c r="K265" s="5" t="n">
        <v>35870.85</v>
      </c>
      <c r="L265" s="5" t="n">
        <v>7194.99</v>
      </c>
      <c r="M265" s="5" t="n">
        <v>56416.91</v>
      </c>
      <c r="N265" s="5" t="n">
        <v>-13351.07000000001</v>
      </c>
      <c r="O265" s="5" t="n">
        <v>-20546.06</v>
      </c>
      <c r="P265" s="4" t="n"/>
      <c r="Q265" s="6" t="n">
        <v>1</v>
      </c>
      <c r="R265" s="6" t="n">
        <v>1.31</v>
      </c>
    </row>
    <row r="266">
      <c r="A266" s="4" t="inlineStr">
        <is>
          <t>25-PC-30803</t>
        </is>
      </c>
      <c r="B266" s="4" t="inlineStr">
        <is>
          <t>Saltgrass Cell Tower Built Environment Survey</t>
        </is>
      </c>
      <c r="C266" s="4" t="inlineStr">
        <is>
          <t>In Progress</t>
        </is>
      </c>
      <c r="D266" s="4" t="inlineStr">
        <is>
          <t>Fixed fee</t>
        </is>
      </c>
      <c r="E266" s="4" t="inlineStr">
        <is>
          <t>Bluegrass</t>
        </is>
      </c>
      <c r="F266" s="4" t="inlineStr">
        <is>
          <t>Alice Galloway</t>
        </is>
      </c>
      <c r="G266" s="5" t="n">
        <v>131000</v>
      </c>
      <c r="H266" s="5" t="n">
        <v>131000</v>
      </c>
      <c r="I266" s="5" t="n">
        <v>122522.64</v>
      </c>
      <c r="J266" s="5" t="n">
        <v>85464.39999999999</v>
      </c>
      <c r="K266" s="5" t="n">
        <v>85464.39999999999</v>
      </c>
      <c r="L266" s="5" t="n">
        <v>0</v>
      </c>
      <c r="M266" s="5" t="n">
        <v>90183.89999999999</v>
      </c>
      <c r="N266" s="5" t="n">
        <v>-4719.5</v>
      </c>
      <c r="O266" s="5" t="n">
        <v>-4719.5</v>
      </c>
      <c r="P266" s="4" t="n"/>
      <c r="Q266" s="6" t="n">
        <v>1</v>
      </c>
      <c r="R266" s="6" t="n">
        <v>1.0552</v>
      </c>
    </row>
    <row r="267">
      <c r="A267" s="4" t="inlineStr">
        <is>
          <t>25-PC-30824</t>
        </is>
      </c>
      <c r="B267" s="4" t="inlineStr">
        <is>
          <t>Task Order 2: Lantern Bay Fiber Route Environmental Review Support</t>
        </is>
      </c>
      <c r="C267" s="4" t="inlineStr">
        <is>
          <t>In Progress</t>
        </is>
      </c>
      <c r="D267" s="4" t="inlineStr">
        <is>
          <t>Fixed fee</t>
        </is>
      </c>
      <c r="E267" s="4" t="inlineStr">
        <is>
          <t>Bluegrass</t>
        </is>
      </c>
      <c r="F267" s="4" t="inlineStr">
        <is>
          <t>Alice Galloway</t>
        </is>
      </c>
      <c r="G267" s="5" t="n">
        <v>206400</v>
      </c>
      <c r="H267" s="5" t="n">
        <v>142477.92</v>
      </c>
      <c r="I267" s="5" t="n">
        <v>142477.92</v>
      </c>
      <c r="J267" s="5" t="n">
        <v>145641.07</v>
      </c>
      <c r="K267" s="5" t="n">
        <v>109553</v>
      </c>
      <c r="L267" s="5" t="n">
        <v>36088.07</v>
      </c>
      <c r="M267" s="5" t="n">
        <v>100541.75</v>
      </c>
      <c r="N267" s="5" t="n">
        <v>45099.32000000001</v>
      </c>
      <c r="O267" s="5" t="n">
        <v>9011.25</v>
      </c>
      <c r="P267" s="4" t="n"/>
      <c r="Q267" s="6" t="n">
        <v>0.6899999999999999</v>
      </c>
      <c r="R267" s="6" t="n">
        <v>0.6903</v>
      </c>
    </row>
    <row r="268">
      <c r="A268" s="4" t="inlineStr">
        <is>
          <t>25-PC-31109</t>
        </is>
      </c>
      <c r="B268" s="4" t="inlineStr">
        <is>
          <t>Riverbend GIS Mapping</t>
        </is>
      </c>
      <c r="C268" s="4" t="inlineStr">
        <is>
          <t>In Progress</t>
        </is>
      </c>
      <c r="D268" s="4" t="inlineStr">
        <is>
          <t>Time and material</t>
        </is>
      </c>
      <c r="E268" s="4" t="inlineStr">
        <is>
          <t>Cascade</t>
        </is>
      </c>
      <c r="F268" s="4" t="inlineStr">
        <is>
          <t>Cassidy Gay</t>
        </is>
      </c>
      <c r="G268" s="5" t="n">
        <v>174700</v>
      </c>
      <c r="H268" s="5" t="n">
        <v>174700</v>
      </c>
      <c r="I268" s="5" t="n">
        <v>154905.3</v>
      </c>
      <c r="J268" s="5" t="n">
        <v>109484.49</v>
      </c>
      <c r="K268" s="5" t="n">
        <v>109484.49</v>
      </c>
      <c r="L268" s="5" t="n">
        <v>0</v>
      </c>
      <c r="M268" s="5" t="n">
        <v>162892.26</v>
      </c>
      <c r="N268" s="5" t="n">
        <v>-53407.77</v>
      </c>
      <c r="O268" s="5" t="n">
        <v>-53407.77</v>
      </c>
      <c r="P268" s="4" t="n"/>
      <c r="Q268" s="6" t="n">
        <v>1</v>
      </c>
      <c r="R268" s="6" t="n">
        <v>1.4878</v>
      </c>
    </row>
    <row r="269">
      <c r="A269" s="4" t="inlineStr">
        <is>
          <t>25-PC-31114</t>
        </is>
      </c>
      <c r="B269" s="4" t="inlineStr">
        <is>
          <t>Granite Pass Built Environment Survey</t>
        </is>
      </c>
      <c r="C269" s="4" t="inlineStr">
        <is>
          <t>In Progress</t>
        </is>
      </c>
      <c r="D269" s="4" t="inlineStr">
        <is>
          <t>Time and material</t>
        </is>
      </c>
      <c r="E269" s="4" t="inlineStr">
        <is>
          <t>Cascade</t>
        </is>
      </c>
      <c r="F269" s="4" t="inlineStr">
        <is>
          <t>Jean Cooke</t>
        </is>
      </c>
      <c r="G269" s="5" t="n">
        <v>229400</v>
      </c>
      <c r="H269" s="5" t="n">
        <v>179308.8</v>
      </c>
      <c r="I269" s="5" t="n">
        <v>179308.8</v>
      </c>
      <c r="J269" s="5" t="n">
        <v>157964.84</v>
      </c>
      <c r="K269" s="5" t="n">
        <v>157964.84</v>
      </c>
      <c r="L269" s="5" t="n">
        <v>0</v>
      </c>
      <c r="M269" s="5" t="n">
        <v>127618.8</v>
      </c>
      <c r="N269" s="5" t="n">
        <v>30346.03999999999</v>
      </c>
      <c r="O269" s="5" t="n">
        <v>30346.03999999999</v>
      </c>
      <c r="P269" s="4" t="n"/>
      <c r="Q269" s="6" t="n">
        <v>0.782</v>
      </c>
      <c r="R269" s="6" t="n">
        <v>0.8079</v>
      </c>
    </row>
    <row r="270">
      <c r="A270" s="4" t="inlineStr">
        <is>
          <t>25-PC-31180</t>
        </is>
      </c>
      <c r="B270" s="4" t="inlineStr">
        <is>
          <t>Blue Heron Environmental Review Support</t>
        </is>
      </c>
      <c r="C270" s="4" t="inlineStr">
        <is>
          <t>In Progress</t>
        </is>
      </c>
      <c r="D270" s="4" t="inlineStr">
        <is>
          <t>Fixed fee</t>
        </is>
      </c>
      <c r="E270" s="4" t="inlineStr">
        <is>
          <t>Cascade</t>
        </is>
      </c>
      <c r="F270" s="4" t="inlineStr">
        <is>
          <t>Preston Duarte</t>
        </is>
      </c>
      <c r="G270" s="5" t="n">
        <v>80000</v>
      </c>
      <c r="H270" s="5" t="n">
        <v>80000</v>
      </c>
      <c r="I270" s="5" t="n">
        <v>69747.42999999999</v>
      </c>
      <c r="J270" s="5" t="n">
        <v>60701.89</v>
      </c>
      <c r="K270" s="5" t="n">
        <v>45712.3</v>
      </c>
      <c r="L270" s="5" t="n">
        <v>14989.59</v>
      </c>
      <c r="M270" s="5" t="n">
        <v>64096.36</v>
      </c>
      <c r="N270" s="5" t="n">
        <v>-3394.470000000001</v>
      </c>
      <c r="O270" s="5" t="n">
        <v>-18384.06</v>
      </c>
      <c r="P270" s="4" t="n"/>
      <c r="Q270" s="6" t="n">
        <v>1</v>
      </c>
      <c r="R270" s="6" t="n">
        <v>1.0559</v>
      </c>
    </row>
    <row r="271">
      <c r="A271" s="4" t="inlineStr">
        <is>
          <t>25-PC-31242</t>
        </is>
      </c>
      <c r="B271" s="4" t="inlineStr">
        <is>
          <t>Sage Flat Fiber Route - Class III Survey</t>
        </is>
      </c>
      <c r="C271" s="4" t="inlineStr">
        <is>
          <t>In Progress</t>
        </is>
      </c>
      <c r="D271" s="4" t="inlineStr">
        <is>
          <t>Fixed fee</t>
        </is>
      </c>
      <c r="E271" s="4" t="inlineStr">
        <is>
          <t>Cascade</t>
        </is>
      </c>
      <c r="F271" s="4" t="inlineStr">
        <is>
          <t>Gene Nixon</t>
        </is>
      </c>
      <c r="G271" s="5" t="n">
        <v>398600</v>
      </c>
      <c r="H271" s="5" t="n">
        <v>143216.98</v>
      </c>
      <c r="I271" s="5" t="n">
        <v>139744.36</v>
      </c>
      <c r="J271" s="5" t="n">
        <v>273446.93</v>
      </c>
      <c r="K271" s="5" t="n">
        <v>244020.48</v>
      </c>
      <c r="L271" s="5" t="n">
        <v>29426.45</v>
      </c>
      <c r="M271" s="5" t="n">
        <v>98245.95</v>
      </c>
      <c r="N271" s="5" t="n">
        <v>175200.98</v>
      </c>
      <c r="O271" s="5" t="n">
        <v>145774.53</v>
      </c>
      <c r="P271" s="4" t="n"/>
      <c r="Q271" s="6" t="n">
        <v>0.359</v>
      </c>
      <c r="R271" s="6" t="n">
        <v>0.3593</v>
      </c>
    </row>
    <row r="272">
      <c r="A272" s="4" t="inlineStr">
        <is>
          <t>25-PC-31263</t>
        </is>
      </c>
      <c r="B272" s="4" t="inlineStr">
        <is>
          <t>Dove Canyon Water Main Phase I Survey</t>
        </is>
      </c>
      <c r="C272" s="4" t="inlineStr">
        <is>
          <t>Lab/Curation</t>
        </is>
      </c>
      <c r="D272" s="4" t="inlineStr">
        <is>
          <t>Time and material</t>
        </is>
      </c>
      <c r="E272" s="4" t="inlineStr">
        <is>
          <t>Cascade</t>
        </is>
      </c>
      <c r="F272" s="4" t="inlineStr">
        <is>
          <t>Cassidy Gay</t>
        </is>
      </c>
      <c r="G272" s="5" t="n">
        <v>203400</v>
      </c>
      <c r="H272" s="5" t="n">
        <v>177142</v>
      </c>
      <c r="I272" s="5" t="n">
        <v>173315.81</v>
      </c>
      <c r="J272" s="5" t="n">
        <v>139410.36</v>
      </c>
      <c r="K272" s="5" t="n">
        <v>139410.36</v>
      </c>
      <c r="L272" s="5" t="n">
        <v>0</v>
      </c>
      <c r="M272" s="5" t="n">
        <v>122334.3</v>
      </c>
      <c r="N272" s="5" t="n">
        <v>17076.05999999998</v>
      </c>
      <c r="O272" s="5" t="n">
        <v>17076.05999999998</v>
      </c>
      <c r="P272" s="4" t="n"/>
      <c r="Q272" s="6" t="n">
        <v>0.871</v>
      </c>
      <c r="R272" s="6" t="n">
        <v>0.8774999999999999</v>
      </c>
    </row>
    <row r="273">
      <c r="A273" s="4" t="inlineStr">
        <is>
          <t>25-PC-31298</t>
        </is>
      </c>
      <c r="B273" s="4" t="inlineStr">
        <is>
          <t>On-Call: Lone Pine Water Main Class III Survey</t>
        </is>
      </c>
      <c r="C273" s="4" t="inlineStr">
        <is>
          <t>In Progress</t>
        </is>
      </c>
      <c r="D273" s="4" t="inlineStr">
        <is>
          <t>Fixed fee</t>
        </is>
      </c>
      <c r="E273" s="4" t="inlineStr">
        <is>
          <t>Cascade</t>
        </is>
      </c>
      <c r="F273" s="4" t="inlineStr">
        <is>
          <t>Cassidy Gay</t>
        </is>
      </c>
      <c r="G273" s="5" t="n">
        <v>48100</v>
      </c>
      <c r="H273" s="5" t="n">
        <v>41495.87</v>
      </c>
      <c r="I273" s="5" t="n">
        <v>41495.87</v>
      </c>
      <c r="J273" s="5" t="n">
        <v>35361.72</v>
      </c>
      <c r="K273" s="5" t="n">
        <v>33111</v>
      </c>
      <c r="L273" s="5" t="n">
        <v>2250.72</v>
      </c>
      <c r="M273" s="5" t="n">
        <v>30507.93</v>
      </c>
      <c r="N273" s="5" t="n">
        <v>4853.790000000001</v>
      </c>
      <c r="O273" s="5" t="n">
        <v>2603.07</v>
      </c>
      <c r="P273" s="4" t="n"/>
      <c r="Q273" s="6" t="n">
        <v>0.863</v>
      </c>
      <c r="R273" s="6" t="n">
        <v>0.8627</v>
      </c>
    </row>
    <row r="274">
      <c r="A274" s="4" t="inlineStr">
        <is>
          <t>25-PC-31330</t>
        </is>
      </c>
      <c r="B274" s="4" t="inlineStr">
        <is>
          <t>Phase I: Kestrel Butte Substation Data Recovery</t>
        </is>
      </c>
      <c r="C274" s="4" t="inlineStr">
        <is>
          <t>Lab/Curation</t>
        </is>
      </c>
      <c r="D274" s="4" t="inlineStr">
        <is>
          <t>Fixed fee</t>
        </is>
      </c>
      <c r="E274" s="4" t="inlineStr">
        <is>
          <t>Cascade</t>
        </is>
      </c>
      <c r="F274" s="4" t="inlineStr">
        <is>
          <t>Donald Lutz</t>
        </is>
      </c>
      <c r="G274" s="5" t="n">
        <v>23500</v>
      </c>
      <c r="H274" s="5" t="n">
        <v>23500</v>
      </c>
      <c r="I274" s="5" t="n">
        <v>23419.06</v>
      </c>
      <c r="J274" s="5" t="n">
        <v>17263.1</v>
      </c>
      <c r="K274" s="5" t="n">
        <v>17263.1</v>
      </c>
      <c r="L274" s="5" t="n">
        <v>0</v>
      </c>
      <c r="M274" s="5" t="n">
        <v>22123.1</v>
      </c>
      <c r="N274" s="5" t="n">
        <v>-4860</v>
      </c>
      <c r="O274" s="5" t="n">
        <v>-4860</v>
      </c>
      <c r="P274" s="4" t="n"/>
      <c r="Q274" s="6" t="n">
        <v>1</v>
      </c>
      <c r="R274" s="6" t="n">
        <v>1.2815</v>
      </c>
    </row>
    <row r="275">
      <c r="A275" s="4" t="inlineStr">
        <is>
          <t>25-PC-31417</t>
        </is>
      </c>
      <c r="B275" s="4" t="inlineStr">
        <is>
          <t>Sandpiper Park Improvements Phase I Survey</t>
        </is>
      </c>
      <c r="C275" s="4" t="inlineStr">
        <is>
          <t>In Progress</t>
        </is>
      </c>
      <c r="D275" s="4" t="inlineStr">
        <is>
          <t>Fixed fee</t>
        </is>
      </c>
      <c r="E275" s="4" t="inlineStr">
        <is>
          <t>Cascade</t>
        </is>
      </c>
      <c r="F275" s="4" t="inlineStr">
        <is>
          <t>Cassidy Gay</t>
        </is>
      </c>
      <c r="G275" s="5" t="n">
        <v>52000</v>
      </c>
      <c r="H275" s="5" t="n">
        <v>52000</v>
      </c>
      <c r="I275" s="5" t="n">
        <v>49983.77</v>
      </c>
      <c r="J275" s="5" t="n">
        <v>38781.6</v>
      </c>
      <c r="K275" s="5" t="n">
        <v>38781.6</v>
      </c>
      <c r="L275" s="5" t="n">
        <v>0</v>
      </c>
      <c r="M275" s="5" t="n">
        <v>51500.29</v>
      </c>
      <c r="N275" s="5" t="n">
        <v>-12718.69</v>
      </c>
      <c r="O275" s="5" t="n">
        <v>-12718.69</v>
      </c>
      <c r="P275" s="4" t="n"/>
      <c r="Q275" s="6" t="n">
        <v>1</v>
      </c>
      <c r="R275" s="6" t="n">
        <v>1.328</v>
      </c>
    </row>
    <row r="276">
      <c r="A276" s="4" t="inlineStr">
        <is>
          <t>25-PC-31420</t>
        </is>
      </c>
      <c r="B276" s="4" t="inlineStr">
        <is>
          <t>Cedar Hollow Wind Farm Archaeological Testing</t>
        </is>
      </c>
      <c r="C276" s="4" t="inlineStr">
        <is>
          <t>Final Reporting/Review</t>
        </is>
      </c>
      <c r="D276" s="4" t="inlineStr">
        <is>
          <t>Fixed fee</t>
        </is>
      </c>
      <c r="E276" s="4" t="inlineStr">
        <is>
          <t>Cascade</t>
        </is>
      </c>
      <c r="F276" s="4" t="inlineStr">
        <is>
          <t>Jeff Spence</t>
        </is>
      </c>
      <c r="G276" s="5" t="n">
        <v>102200</v>
      </c>
      <c r="H276" s="5" t="n">
        <v>55310.64</v>
      </c>
      <c r="I276" s="5" t="n">
        <v>48011.31</v>
      </c>
      <c r="J276" s="5" t="n">
        <v>68753.09</v>
      </c>
      <c r="K276" s="5" t="n">
        <v>50928.84</v>
      </c>
      <c r="L276" s="5" t="n">
        <v>17824.25</v>
      </c>
      <c r="M276" s="5" t="n">
        <v>37206.7</v>
      </c>
      <c r="N276" s="5" t="n">
        <v>31546.39</v>
      </c>
      <c r="O276" s="5" t="n">
        <v>13722.14</v>
      </c>
      <c r="P276" s="4" t="n"/>
      <c r="Q276" s="6" t="n">
        <v>0.541</v>
      </c>
      <c r="R276" s="6" t="n">
        <v>0.5412</v>
      </c>
    </row>
    <row r="277">
      <c r="A277" s="4" t="inlineStr">
        <is>
          <t>25-PC-31555</t>
        </is>
      </c>
      <c r="B277" s="4" t="inlineStr">
        <is>
          <t>Wren Hollow Architectural History Survey</t>
        </is>
      </c>
      <c r="C277" s="4" t="inlineStr">
        <is>
          <t>In Progress</t>
        </is>
      </c>
      <c r="D277" s="4" t="inlineStr">
        <is>
          <t>Fixed fee</t>
        </is>
      </c>
      <c r="E277" s="4" t="inlineStr">
        <is>
          <t>Cascade</t>
        </is>
      </c>
      <c r="F277" s="4" t="inlineStr">
        <is>
          <t>Gene Nixon</t>
        </is>
      </c>
      <c r="G277" s="5" t="n">
        <v>69300</v>
      </c>
      <c r="H277" s="5" t="n">
        <v>66417.12</v>
      </c>
      <c r="I277" s="5" t="n">
        <v>60877.3</v>
      </c>
      <c r="J277" s="5" t="n">
        <v>53097.66</v>
      </c>
      <c r="K277" s="5" t="n">
        <v>53097.66</v>
      </c>
      <c r="L277" s="5" t="n">
        <v>0</v>
      </c>
      <c r="M277" s="5" t="n">
        <v>50888.1</v>
      </c>
      <c r="N277" s="5" t="n">
        <v>2209.560000000005</v>
      </c>
      <c r="O277" s="5" t="n">
        <v>2209.560000000005</v>
      </c>
      <c r="P277" s="4" t="n"/>
      <c r="Q277" s="6" t="n">
        <v>0.958</v>
      </c>
      <c r="R277" s="6" t="n">
        <v>0.9584</v>
      </c>
    </row>
    <row r="278">
      <c r="A278" s="4" t="inlineStr">
        <is>
          <t>25-PC-31590</t>
        </is>
      </c>
      <c r="B278" s="4" t="inlineStr">
        <is>
          <t>Task Order 11: Kestrel Butte Mine Expansion Cultural Resources Monitoring</t>
        </is>
      </c>
      <c r="C278" s="4" t="inlineStr">
        <is>
          <t>In Progress</t>
        </is>
      </c>
      <c r="D278" s="4" t="inlineStr">
        <is>
          <t>Fixed fee</t>
        </is>
      </c>
      <c r="E278" s="4" t="inlineStr">
        <is>
          <t>Cascade</t>
        </is>
      </c>
      <c r="F278" s="4" t="inlineStr">
        <is>
          <t>Jean Cooke</t>
        </is>
      </c>
      <c r="G278" s="5" t="n">
        <v>16800</v>
      </c>
      <c r="H278" s="5" t="n">
        <v>16800</v>
      </c>
      <c r="I278" s="5" t="n">
        <v>16756.9</v>
      </c>
      <c r="J278" s="5" t="n">
        <v>11810.4</v>
      </c>
      <c r="K278" s="5" t="n">
        <v>11810.4</v>
      </c>
      <c r="L278" s="5" t="n">
        <v>0</v>
      </c>
      <c r="M278" s="5" t="n">
        <v>15531.6</v>
      </c>
      <c r="N278" s="5" t="n">
        <v>-3721.200000000001</v>
      </c>
      <c r="O278" s="5" t="n">
        <v>-3721.200000000001</v>
      </c>
      <c r="P278" s="4" t="n"/>
      <c r="Q278" s="6" t="n">
        <v>1</v>
      </c>
      <c r="R278" s="6" t="n">
        <v>1.3151</v>
      </c>
    </row>
    <row r="279">
      <c r="A279" s="4" t="inlineStr">
        <is>
          <t>25-PC-31616</t>
        </is>
      </c>
      <c r="B279" s="4" t="inlineStr">
        <is>
          <t>On-Call: Foxglove Fiber Route GIS Mapping</t>
        </is>
      </c>
      <c r="C279" s="4" t="inlineStr">
        <is>
          <t>Final Reporting/Review</t>
        </is>
      </c>
      <c r="D279" s="4" t="inlineStr">
        <is>
          <t>Time and material</t>
        </is>
      </c>
      <c r="E279" s="4" t="inlineStr">
        <is>
          <t>Cascade</t>
        </is>
      </c>
      <c r="F279" s="4" t="inlineStr">
        <is>
          <t>Jeff Spence</t>
        </is>
      </c>
      <c r="G279" s="5" t="n">
        <v>30300</v>
      </c>
      <c r="H279" s="5" t="n">
        <v>30300</v>
      </c>
      <c r="I279" s="5" t="n">
        <v>30300</v>
      </c>
      <c r="J279" s="5" t="n">
        <v>22049.31</v>
      </c>
      <c r="K279" s="5" t="n">
        <v>22049.31</v>
      </c>
      <c r="L279" s="5" t="n">
        <v>0</v>
      </c>
      <c r="M279" s="5" t="n">
        <v>34568.28</v>
      </c>
      <c r="N279" s="5" t="n">
        <v>-12518.97</v>
      </c>
      <c r="O279" s="5" t="n">
        <v>-12518.97</v>
      </c>
      <c r="P279" s="4" t="n"/>
      <c r="Q279" s="6" t="n">
        <v>1</v>
      </c>
      <c r="R279" s="6" t="n">
        <v>1.5678</v>
      </c>
    </row>
    <row r="280">
      <c r="A280" s="4" t="inlineStr">
        <is>
          <t>25-PC-31775</t>
        </is>
      </c>
      <c r="B280" s="4" t="inlineStr">
        <is>
          <t>Task Order 26: Pine Hollow Bridge Replacement Cultural Resources Monitoring</t>
        </is>
      </c>
      <c r="C280" s="4" t="inlineStr">
        <is>
          <t>In Progress</t>
        </is>
      </c>
      <c r="D280" s="4" t="inlineStr">
        <is>
          <t>Time and material</t>
        </is>
      </c>
      <c r="E280" s="4" t="inlineStr">
        <is>
          <t>Cascade</t>
        </is>
      </c>
      <c r="F280" s="4" t="inlineStr">
        <is>
          <t>Cassidy Gay</t>
        </is>
      </c>
      <c r="G280" s="5" t="n">
        <v>163200</v>
      </c>
      <c r="H280" s="5" t="n">
        <v>89880</v>
      </c>
      <c r="I280" s="5" t="n">
        <v>89880</v>
      </c>
      <c r="J280" s="5" t="n">
        <v>98279.03999999999</v>
      </c>
      <c r="K280" s="5" t="n">
        <v>98279.03999999999</v>
      </c>
      <c r="L280" s="5" t="n">
        <v>0</v>
      </c>
      <c r="M280" s="5" t="n">
        <v>45032.99</v>
      </c>
      <c r="N280" s="5" t="n">
        <v>53246.05</v>
      </c>
      <c r="O280" s="5" t="n">
        <v>53246.05</v>
      </c>
      <c r="P280" s="4" t="n"/>
      <c r="Q280" s="6" t="n">
        <v>0.551</v>
      </c>
      <c r="R280" s="6" t="n">
        <v>0.4582</v>
      </c>
    </row>
    <row r="281">
      <c r="A281" s="4" t="inlineStr">
        <is>
          <t>25-PC-31784</t>
        </is>
      </c>
      <c r="B281" s="4" t="inlineStr">
        <is>
          <t>On-Call: Badger Hollow Pipeline Archaeological Testing</t>
        </is>
      </c>
      <c r="C281" s="4" t="inlineStr">
        <is>
          <t>In Progress</t>
        </is>
      </c>
      <c r="D281" s="4" t="inlineStr">
        <is>
          <t>Fixed fee</t>
        </is>
      </c>
      <c r="E281" s="4" t="inlineStr">
        <is>
          <t>Cascade</t>
        </is>
      </c>
      <c r="F281" s="4" t="inlineStr">
        <is>
          <t>Preston Duarte</t>
        </is>
      </c>
      <c r="G281" s="5" t="n">
        <v>216800</v>
      </c>
      <c r="H281" s="5" t="n">
        <v>216800</v>
      </c>
      <c r="I281" s="5" t="n">
        <v>202009.7</v>
      </c>
      <c r="J281" s="5" t="n">
        <v>171337.04</v>
      </c>
      <c r="K281" s="5" t="n">
        <v>171337.04</v>
      </c>
      <c r="L281" s="5" t="n">
        <v>0</v>
      </c>
      <c r="M281" s="5" t="n">
        <v>185663.62</v>
      </c>
      <c r="N281" s="5" t="n">
        <v>-14326.57999999999</v>
      </c>
      <c r="O281" s="5" t="n">
        <v>-14326.57999999999</v>
      </c>
      <c r="P281" s="4" t="n"/>
      <c r="Q281" s="6" t="n">
        <v>1</v>
      </c>
      <c r="R281" s="6" t="n">
        <v>1.0836</v>
      </c>
    </row>
    <row r="282">
      <c r="A282" s="4" t="inlineStr">
        <is>
          <t>25-PC-31821</t>
        </is>
      </c>
      <c r="B282" s="4" t="inlineStr">
        <is>
          <t>Millbrook Environmental Review Support</t>
        </is>
      </c>
      <c r="C282" s="4" t="inlineStr">
        <is>
          <t>Final Reporting/Review</t>
        </is>
      </c>
      <c r="D282" s="4" t="inlineStr">
        <is>
          <t>Fixed fee</t>
        </is>
      </c>
      <c r="E282" s="4" t="inlineStr">
        <is>
          <t>Cascade</t>
        </is>
      </c>
      <c r="F282" s="4" t="inlineStr">
        <is>
          <t>Preston Duarte</t>
        </is>
      </c>
      <c r="G282" s="5" t="n">
        <v>211400</v>
      </c>
      <c r="H282" s="5" t="n">
        <v>171635.66</v>
      </c>
      <c r="I282" s="5" t="n">
        <v>156607.64</v>
      </c>
      <c r="J282" s="5" t="n">
        <v>183932.36</v>
      </c>
      <c r="K282" s="5" t="n">
        <v>145726.92</v>
      </c>
      <c r="L282" s="5" t="n">
        <v>38205.44</v>
      </c>
      <c r="M282" s="5" t="n">
        <v>149340.49</v>
      </c>
      <c r="N282" s="5" t="n">
        <v>34591.87</v>
      </c>
      <c r="O282" s="5" t="n">
        <v>-3613.569999999978</v>
      </c>
      <c r="P282" s="4" t="n"/>
      <c r="Q282" s="6" t="n">
        <v>0.8120000000000001</v>
      </c>
      <c r="R282" s="6" t="n">
        <v>0.8119</v>
      </c>
    </row>
    <row r="283">
      <c r="A283" s="4" t="inlineStr">
        <is>
          <t>25-PC-31895</t>
        </is>
      </c>
      <c r="B283" s="4" t="inlineStr">
        <is>
          <t>Task Order 27: Hawk Point Pipeline Data Recovery</t>
        </is>
      </c>
      <c r="C283" s="4" t="inlineStr">
        <is>
          <t>Cost Tracking on Closed Project</t>
        </is>
      </c>
      <c r="D283" s="4" t="inlineStr">
        <is>
          <t>Time and material</t>
        </is>
      </c>
      <c r="E283" s="4" t="inlineStr">
        <is>
          <t>Cascade</t>
        </is>
      </c>
      <c r="F283" s="4" t="inlineStr">
        <is>
          <t>Donald Lutz</t>
        </is>
      </c>
      <c r="G283" s="5" t="n">
        <v>40900</v>
      </c>
      <c r="H283" s="5" t="n">
        <v>13987.8</v>
      </c>
      <c r="I283" s="5" t="n">
        <v>13987.8</v>
      </c>
      <c r="J283" s="5" t="n">
        <v>28728.16</v>
      </c>
      <c r="K283" s="5" t="n">
        <v>28728.16</v>
      </c>
      <c r="L283" s="5" t="n">
        <v>0</v>
      </c>
      <c r="M283" s="5" t="n">
        <v>33002.57</v>
      </c>
      <c r="N283" s="5" t="n">
        <v>-4274.41</v>
      </c>
      <c r="O283" s="5" t="n">
        <v>-4274.41</v>
      </c>
      <c r="P283" s="4" t="n"/>
      <c r="Q283" s="6" t="n">
        <v>0.342</v>
      </c>
      <c r="R283" s="6" t="n">
        <v>1.1488</v>
      </c>
    </row>
    <row r="284">
      <c r="A284" s="4" t="inlineStr">
        <is>
          <t>25-PC-31905</t>
        </is>
      </c>
      <c r="B284" s="4" t="inlineStr">
        <is>
          <t>Raven Rock Mixed-Use Development Phase II Testing</t>
        </is>
      </c>
      <c r="C284" s="4" t="inlineStr">
        <is>
          <t>Final Reporting/Review</t>
        </is>
      </c>
      <c r="D284" s="4" t="inlineStr">
        <is>
          <t>Time and material</t>
        </is>
      </c>
      <c r="E284" s="4" t="inlineStr">
        <is>
          <t>Cascade</t>
        </is>
      </c>
      <c r="F284" s="4" t="inlineStr">
        <is>
          <t>Cassidy Gay</t>
        </is>
      </c>
      <c r="G284" s="5" t="n">
        <v>331600</v>
      </c>
      <c r="H284" s="5" t="n">
        <v>201880.85</v>
      </c>
      <c r="I284" s="5" t="n">
        <v>185324.62</v>
      </c>
      <c r="J284" s="5" t="n">
        <v>228107.64</v>
      </c>
      <c r="K284" s="5" t="n">
        <v>228107.64</v>
      </c>
      <c r="L284" s="5" t="n">
        <v>0</v>
      </c>
      <c r="M284" s="5" t="n">
        <v>134532.55</v>
      </c>
      <c r="N284" s="5" t="n">
        <v>93575.09000000003</v>
      </c>
      <c r="O284" s="5" t="n">
        <v>93575.09000000003</v>
      </c>
      <c r="P284" s="4" t="n"/>
      <c r="Q284" s="6" t="n">
        <v>0.609</v>
      </c>
      <c r="R284" s="6" t="n">
        <v>0.5898</v>
      </c>
    </row>
    <row r="285">
      <c r="A285" s="4" t="inlineStr">
        <is>
          <t>25-PC-31961</t>
        </is>
      </c>
      <c r="B285" s="4" t="inlineStr">
        <is>
          <t>Sandpiper Canal Lining - Phase I Survey</t>
        </is>
      </c>
      <c r="C285" s="4" t="inlineStr">
        <is>
          <t>Final Reporting/Review</t>
        </is>
      </c>
      <c r="D285" s="4" t="inlineStr">
        <is>
          <t>Time and material</t>
        </is>
      </c>
      <c r="E285" s="4" t="inlineStr">
        <is>
          <t>Chesapeake</t>
        </is>
      </c>
      <c r="F285" s="4" t="inlineStr">
        <is>
          <t>Jason Oconnor</t>
        </is>
      </c>
      <c r="G285" s="5" t="n">
        <v>35200</v>
      </c>
      <c r="H285" s="5" t="n">
        <v>35200</v>
      </c>
      <c r="I285" s="5" t="n">
        <v>35200</v>
      </c>
      <c r="J285" s="5" t="n">
        <v>24481.6</v>
      </c>
      <c r="K285" s="5" t="n">
        <v>24481.6</v>
      </c>
      <c r="L285" s="5" t="n">
        <v>0</v>
      </c>
      <c r="M285" s="5" t="n">
        <v>39794.35</v>
      </c>
      <c r="N285" s="5" t="n">
        <v>-15312.75</v>
      </c>
      <c r="O285" s="5" t="n">
        <v>-15312.75</v>
      </c>
      <c r="P285" s="4" t="n"/>
      <c r="Q285" s="6" t="n">
        <v>1</v>
      </c>
      <c r="R285" s="6" t="n">
        <v>1.6255</v>
      </c>
    </row>
    <row r="286">
      <c r="A286" s="4" t="inlineStr">
        <is>
          <t>25-PC-32021</t>
        </is>
      </c>
      <c r="B286" s="4" t="inlineStr">
        <is>
          <t>Oak Terrace Cultural Resources Monitoring</t>
        </is>
      </c>
      <c r="C286" s="4" t="inlineStr">
        <is>
          <t>In Progress</t>
        </is>
      </c>
      <c r="D286" s="4" t="inlineStr">
        <is>
          <t>Time and material</t>
        </is>
      </c>
      <c r="E286" s="4" t="inlineStr">
        <is>
          <t>Chesapeake</t>
        </is>
      </c>
      <c r="F286" s="4" t="inlineStr">
        <is>
          <t>Alexandria Wilkinson</t>
        </is>
      </c>
      <c r="G286" s="5" t="n">
        <v>148200</v>
      </c>
      <c r="H286" s="5" t="n">
        <v>97677.05</v>
      </c>
      <c r="I286" s="5" t="n">
        <v>95737.05</v>
      </c>
      <c r="J286" s="5" t="n">
        <v>111253.74</v>
      </c>
      <c r="K286" s="5" t="n">
        <v>111253.74</v>
      </c>
      <c r="L286" s="5" t="n">
        <v>0</v>
      </c>
      <c r="M286" s="5" t="n">
        <v>57713.28</v>
      </c>
      <c r="N286" s="5" t="n">
        <v>53540.46000000001</v>
      </c>
      <c r="O286" s="5" t="n">
        <v>53540.46000000001</v>
      </c>
      <c r="P286" s="4" t="n"/>
      <c r="Q286" s="6" t="n">
        <v>0.659</v>
      </c>
      <c r="R286" s="6" t="n">
        <v>0.5188</v>
      </c>
    </row>
    <row r="287">
      <c r="A287" s="4" t="inlineStr">
        <is>
          <t>25-PC-32024</t>
        </is>
      </c>
      <c r="B287" s="4" t="inlineStr">
        <is>
          <t>Pine Hollow Historic Resources Evaluation</t>
        </is>
      </c>
      <c r="C287" s="4" t="inlineStr">
        <is>
          <t>In Progress</t>
        </is>
      </c>
      <c r="D287" s="4" t="inlineStr">
        <is>
          <t>Time and material</t>
        </is>
      </c>
      <c r="E287" s="4" t="inlineStr">
        <is>
          <t>Chesapeake</t>
        </is>
      </c>
      <c r="F287" s="4" t="inlineStr">
        <is>
          <t>Ian Maddox</t>
        </is>
      </c>
      <c r="G287" s="5" t="n">
        <v>79500</v>
      </c>
      <c r="H287" s="5" t="n">
        <v>57058</v>
      </c>
      <c r="I287" s="5" t="n">
        <v>51094.33</v>
      </c>
      <c r="J287" s="5" t="n">
        <v>57637.5</v>
      </c>
      <c r="K287" s="5" t="n">
        <v>57637.5</v>
      </c>
      <c r="L287" s="5" t="n">
        <v>0</v>
      </c>
      <c r="M287" s="5" t="n">
        <v>41962.52</v>
      </c>
      <c r="N287" s="5" t="n">
        <v>15674.98</v>
      </c>
      <c r="O287" s="5" t="n">
        <v>15674.98</v>
      </c>
      <c r="P287" s="4" t="n"/>
      <c r="Q287" s="6" t="n">
        <v>0.718</v>
      </c>
      <c r="R287" s="6" t="n">
        <v>0.728</v>
      </c>
    </row>
    <row r="288">
      <c r="A288" s="4" t="inlineStr">
        <is>
          <t>25-PC-32241</t>
        </is>
      </c>
      <c r="B288" s="4" t="inlineStr">
        <is>
          <t>Sumac Ridge Canal Lining Cultural Resources Monitoring</t>
        </is>
      </c>
      <c r="C288" s="4" t="inlineStr">
        <is>
          <t>Final Reporting/Review</t>
        </is>
      </c>
      <c r="D288" s="4" t="inlineStr">
        <is>
          <t>Time and material</t>
        </is>
      </c>
      <c r="E288" s="4" t="inlineStr">
        <is>
          <t>Chesapeake</t>
        </is>
      </c>
      <c r="F288" s="4" t="inlineStr">
        <is>
          <t>Bryan Mann</t>
        </is>
      </c>
      <c r="G288" s="5" t="n">
        <v>331500</v>
      </c>
      <c r="H288" s="5" t="n">
        <v>258073.5</v>
      </c>
      <c r="I288" s="5" t="n">
        <v>253304.76</v>
      </c>
      <c r="J288" s="5" t="n">
        <v>231983.7</v>
      </c>
      <c r="K288" s="5" t="n">
        <v>231983.7</v>
      </c>
      <c r="L288" s="5" t="n">
        <v>0</v>
      </c>
      <c r="M288" s="5" t="n">
        <v>169942.8</v>
      </c>
      <c r="N288" s="5" t="n">
        <v>62040.90000000002</v>
      </c>
      <c r="O288" s="5" t="n">
        <v>62040.90000000002</v>
      </c>
      <c r="P288" s="4" t="n"/>
      <c r="Q288" s="6" t="n">
        <v>0.779</v>
      </c>
      <c r="R288" s="6" t="n">
        <v>0.7326</v>
      </c>
    </row>
    <row r="289">
      <c r="A289" s="4" t="inlineStr">
        <is>
          <t>25-PC-32264</t>
        </is>
      </c>
      <c r="B289" s="4" t="inlineStr">
        <is>
          <t>Tansy Flat Wastewater Plant Phase I Survey</t>
        </is>
      </c>
      <c r="C289" s="4" t="inlineStr">
        <is>
          <t>Final Reporting/Review</t>
        </is>
      </c>
      <c r="D289" s="4" t="inlineStr">
        <is>
          <t>Time and material</t>
        </is>
      </c>
      <c r="E289" s="4" t="inlineStr">
        <is>
          <t>Chesapeake</t>
        </is>
      </c>
      <c r="F289" s="4" t="inlineStr">
        <is>
          <t>Sandy Kerr</t>
        </is>
      </c>
      <c r="G289" s="5" t="n">
        <v>736000</v>
      </c>
      <c r="H289" s="5" t="n">
        <v>500480</v>
      </c>
      <c r="I289" s="5" t="n">
        <v>500480</v>
      </c>
      <c r="J289" s="5" t="n">
        <v>420550.4</v>
      </c>
      <c r="K289" s="5" t="n">
        <v>420550.4</v>
      </c>
      <c r="L289" s="5" t="n">
        <v>0</v>
      </c>
      <c r="M289" s="5" t="n">
        <v>341293.64</v>
      </c>
      <c r="N289" s="5" t="n">
        <v>79256.76000000001</v>
      </c>
      <c r="O289" s="5" t="n">
        <v>79256.76000000001</v>
      </c>
      <c r="P289" s="4" t="n"/>
      <c r="Q289" s="6" t="n">
        <v>0.68</v>
      </c>
      <c r="R289" s="6" t="n">
        <v>0.8115</v>
      </c>
    </row>
    <row r="290">
      <c r="A290" s="4" t="inlineStr">
        <is>
          <t>25-PC-32323</t>
        </is>
      </c>
      <c r="B290" s="4" t="inlineStr">
        <is>
          <t>Hackberry Bend Canal Lining Data Recovery</t>
        </is>
      </c>
      <c r="C290" s="4" t="inlineStr">
        <is>
          <t>In Progress</t>
        </is>
      </c>
      <c r="D290" s="4" t="inlineStr">
        <is>
          <t>Time and material</t>
        </is>
      </c>
      <c r="E290" s="4" t="inlineStr">
        <is>
          <t>Chesapeake</t>
        </is>
      </c>
      <c r="F290" s="4" t="inlineStr">
        <is>
          <t>Ian Maddox</t>
        </is>
      </c>
      <c r="G290" s="5" t="n">
        <v>201300</v>
      </c>
      <c r="H290" s="5" t="n">
        <v>196916.6</v>
      </c>
      <c r="I290" s="5" t="n">
        <v>185059.24</v>
      </c>
      <c r="J290" s="5" t="n">
        <v>150874.35</v>
      </c>
      <c r="K290" s="5" t="n">
        <v>150874.35</v>
      </c>
      <c r="L290" s="5" t="n">
        <v>0</v>
      </c>
      <c r="M290" s="5" t="n">
        <v>161800.48</v>
      </c>
      <c r="N290" s="5" t="n">
        <v>-10926.13</v>
      </c>
      <c r="O290" s="5" t="n">
        <v>-10926.13</v>
      </c>
      <c r="P290" s="4" t="n"/>
      <c r="Q290" s="6" t="n">
        <v>0.978</v>
      </c>
      <c r="R290" s="6" t="n">
        <v>1.0724</v>
      </c>
    </row>
    <row r="291">
      <c r="A291" s="4" t="inlineStr">
        <is>
          <t>25-PC-32402</t>
        </is>
      </c>
      <c r="B291" s="4" t="inlineStr">
        <is>
          <t>Hawk Point Highway Widening - Cultural Resources Monitoring</t>
        </is>
      </c>
      <c r="C291" s="4" t="inlineStr">
        <is>
          <t>Lab/Curation</t>
        </is>
      </c>
      <c r="D291" s="4" t="inlineStr">
        <is>
          <t>Fixed fee</t>
        </is>
      </c>
      <c r="E291" s="4" t="inlineStr">
        <is>
          <t>Chesapeake</t>
        </is>
      </c>
      <c r="F291" s="4" t="inlineStr">
        <is>
          <t>Sandy Kerr</t>
        </is>
      </c>
      <c r="G291" s="5" t="n">
        <v>401300</v>
      </c>
      <c r="H291" s="5" t="n">
        <v>237088.04</v>
      </c>
      <c r="I291" s="5" t="n">
        <v>229423.8</v>
      </c>
      <c r="J291" s="5" t="n">
        <v>353144</v>
      </c>
      <c r="K291" s="5" t="n">
        <v>353144</v>
      </c>
      <c r="L291" s="5" t="n">
        <v>0</v>
      </c>
      <c r="M291" s="5" t="n">
        <v>208637.11</v>
      </c>
      <c r="N291" s="5" t="n">
        <v>144506.89</v>
      </c>
      <c r="O291" s="5" t="n">
        <v>144506.89</v>
      </c>
      <c r="P291" s="4" t="n"/>
      <c r="Q291" s="6" t="n">
        <v>0.591</v>
      </c>
      <c r="R291" s="6" t="n">
        <v>0.5908</v>
      </c>
    </row>
    <row r="292">
      <c r="A292" s="4" t="inlineStr">
        <is>
          <t>25-PC-32447</t>
        </is>
      </c>
      <c r="B292" s="4" t="inlineStr">
        <is>
          <t>Pebble Beach Road Archaeological Testing</t>
        </is>
      </c>
      <c r="C292" s="4" t="inlineStr">
        <is>
          <t>In Progress</t>
        </is>
      </c>
      <c r="D292" s="4" t="inlineStr">
        <is>
          <t>Fixed fee</t>
        </is>
      </c>
      <c r="E292" s="4" t="inlineStr">
        <is>
          <t>Chesapeake</t>
        </is>
      </c>
      <c r="F292" s="4" t="inlineStr">
        <is>
          <t>Alexandria Wilkinson</t>
        </is>
      </c>
      <c r="G292" s="5" t="n">
        <v>88200</v>
      </c>
      <c r="H292" s="5" t="n">
        <v>88200</v>
      </c>
      <c r="I292" s="5" t="n">
        <v>88200</v>
      </c>
      <c r="J292" s="5" t="n">
        <v>61772.24</v>
      </c>
      <c r="K292" s="5" t="n">
        <v>55626.38</v>
      </c>
      <c r="L292" s="5" t="n">
        <v>6145.86</v>
      </c>
      <c r="M292" s="5" t="n">
        <v>76703.23</v>
      </c>
      <c r="N292" s="5" t="n">
        <v>-14930.99</v>
      </c>
      <c r="O292" s="5" t="n">
        <v>-21076.85</v>
      </c>
      <c r="P292" s="4" t="n"/>
      <c r="Q292" s="6" t="n">
        <v>1</v>
      </c>
      <c r="R292" s="6" t="n">
        <v>1.2417</v>
      </c>
    </row>
    <row r="293">
      <c r="A293" s="4" t="inlineStr">
        <is>
          <t>25-PC-32495</t>
        </is>
      </c>
      <c r="B293" s="4" t="inlineStr">
        <is>
          <t>Oak Terrace Canal Lining - Phase I Survey</t>
        </is>
      </c>
      <c r="C293" s="4" t="inlineStr">
        <is>
          <t>In Progress</t>
        </is>
      </c>
      <c r="D293" s="4" t="inlineStr">
        <is>
          <t>Time and material</t>
        </is>
      </c>
      <c r="E293" s="4" t="inlineStr">
        <is>
          <t>Chesapeake</t>
        </is>
      </c>
      <c r="F293" s="4" t="inlineStr">
        <is>
          <t>Sandy Kerr</t>
        </is>
      </c>
      <c r="G293" s="5" t="n">
        <v>118800</v>
      </c>
      <c r="H293" s="5" t="n">
        <v>118800</v>
      </c>
      <c r="I293" s="5" t="n">
        <v>111029.5</v>
      </c>
      <c r="J293" s="5" t="n">
        <v>85013.28</v>
      </c>
      <c r="K293" s="5" t="n">
        <v>85013.28</v>
      </c>
      <c r="L293" s="5" t="n">
        <v>0</v>
      </c>
      <c r="M293" s="5" t="n">
        <v>117591.53</v>
      </c>
      <c r="N293" s="5" t="n">
        <v>-32578.25</v>
      </c>
      <c r="O293" s="5" t="n">
        <v>-32578.25</v>
      </c>
      <c r="P293" s="4" t="n"/>
      <c r="Q293" s="6" t="n">
        <v>1</v>
      </c>
      <c r="R293" s="6" t="n">
        <v>1.3832</v>
      </c>
    </row>
    <row r="294">
      <c r="A294" s="4" t="inlineStr">
        <is>
          <t>25-PC-32750</t>
        </is>
      </c>
      <c r="B294" s="4" t="inlineStr">
        <is>
          <t>Elk Meadow Fiber Route Paleontological Monitoring</t>
        </is>
      </c>
      <c r="C294" s="4" t="inlineStr">
        <is>
          <t>In Progress</t>
        </is>
      </c>
      <c r="D294" s="4" t="inlineStr">
        <is>
          <t>Fixed fee</t>
        </is>
      </c>
      <c r="E294" s="4" t="inlineStr">
        <is>
          <t>Chesapeake</t>
        </is>
      </c>
      <c r="F294" s="4" t="inlineStr">
        <is>
          <t>Bryan Mann</t>
        </is>
      </c>
      <c r="G294" s="5" t="n">
        <v>35500</v>
      </c>
      <c r="H294" s="5" t="n">
        <v>27132.65</v>
      </c>
      <c r="I294" s="5" t="n">
        <v>27028.9</v>
      </c>
      <c r="J294" s="5" t="n">
        <v>25187.75</v>
      </c>
      <c r="K294" s="5" t="n">
        <v>22000.77</v>
      </c>
      <c r="L294" s="5" t="n">
        <v>3186.98</v>
      </c>
      <c r="M294" s="5" t="n">
        <v>19250.92</v>
      </c>
      <c r="N294" s="5" t="n">
        <v>5936.830000000002</v>
      </c>
      <c r="O294" s="5" t="n">
        <v>2749.850000000002</v>
      </c>
      <c r="P294" s="4" t="n"/>
      <c r="Q294" s="6" t="n">
        <v>0.764</v>
      </c>
      <c r="R294" s="6" t="n">
        <v>0.7643</v>
      </c>
    </row>
    <row r="295">
      <c r="A295" s="4" t="inlineStr">
        <is>
          <t>25-PC-32776</t>
        </is>
      </c>
      <c r="B295" s="4" t="inlineStr">
        <is>
          <t>Plover Cove Mixed-Use Development Cultural Resources Monitoring</t>
        </is>
      </c>
      <c r="C295" s="4" t="inlineStr">
        <is>
          <t>In Progress</t>
        </is>
      </c>
      <c r="D295" s="4" t="inlineStr">
        <is>
          <t>Time and material</t>
        </is>
      </c>
      <c r="E295" s="4" t="inlineStr">
        <is>
          <t>Front Range</t>
        </is>
      </c>
      <c r="F295" s="4" t="inlineStr">
        <is>
          <t>Jeremy Tran</t>
        </is>
      </c>
      <c r="G295" s="5" t="n">
        <v>86500</v>
      </c>
      <c r="H295" s="5" t="n">
        <v>83279.75</v>
      </c>
      <c r="I295" s="5" t="n">
        <v>75767.64999999999</v>
      </c>
      <c r="J295" s="5" t="n">
        <v>62245.4</v>
      </c>
      <c r="K295" s="5" t="n">
        <v>62245.4</v>
      </c>
      <c r="L295" s="5" t="n">
        <v>0</v>
      </c>
      <c r="M295" s="5" t="n">
        <v>49276.48</v>
      </c>
      <c r="N295" s="5" t="n">
        <v>12968.92</v>
      </c>
      <c r="O295" s="5" t="n">
        <v>12968.92</v>
      </c>
      <c r="P295" s="4" t="n"/>
      <c r="Q295" s="6" t="n">
        <v>0.963</v>
      </c>
      <c r="R295" s="6" t="n">
        <v>0.7916</v>
      </c>
    </row>
    <row r="296">
      <c r="A296" s="4" t="inlineStr">
        <is>
          <t>25-PC-32795</t>
        </is>
      </c>
      <c r="B296" s="4" t="inlineStr">
        <is>
          <t>North Fork Water Main Architectural History Survey</t>
        </is>
      </c>
      <c r="C296" s="4" t="inlineStr">
        <is>
          <t>In Progress</t>
        </is>
      </c>
      <c r="D296" s="4" t="inlineStr">
        <is>
          <t>Time and material</t>
        </is>
      </c>
      <c r="E296" s="4" t="inlineStr">
        <is>
          <t>Front Range</t>
        </is>
      </c>
      <c r="F296" s="4" t="inlineStr">
        <is>
          <t>Reginald Vargas</t>
        </is>
      </c>
      <c r="G296" s="5" t="n">
        <v>16900</v>
      </c>
      <c r="H296" s="5" t="n">
        <v>16900</v>
      </c>
      <c r="I296" s="5" t="n">
        <v>16900</v>
      </c>
      <c r="J296" s="5" t="n">
        <v>11650.86</v>
      </c>
      <c r="K296" s="5" t="n">
        <v>11650.86</v>
      </c>
      <c r="L296" s="5" t="n">
        <v>0</v>
      </c>
      <c r="M296" s="5" t="n">
        <v>12884.7</v>
      </c>
      <c r="N296" s="5" t="n">
        <v>-1233.84</v>
      </c>
      <c r="O296" s="5" t="n">
        <v>-1233.84</v>
      </c>
      <c r="P296" s="4" t="n"/>
      <c r="Q296" s="6" t="n">
        <v>1</v>
      </c>
      <c r="R296" s="6" t="n">
        <v>1.1059</v>
      </c>
    </row>
    <row r="297">
      <c r="A297" s="4" t="inlineStr">
        <is>
          <t>25-PC-32838</t>
        </is>
      </c>
      <c r="B297" s="4" t="inlineStr">
        <is>
          <t>Aspen Ridge Canal Lining - Curation</t>
        </is>
      </c>
      <c r="C297" s="4" t="inlineStr">
        <is>
          <t>In Progress</t>
        </is>
      </c>
      <c r="D297" s="4" t="inlineStr">
        <is>
          <t>Fixed fee</t>
        </is>
      </c>
      <c r="E297" s="4" t="inlineStr">
        <is>
          <t>Front Range</t>
        </is>
      </c>
      <c r="F297" s="4" t="inlineStr">
        <is>
          <t>Jeremy Tran</t>
        </is>
      </c>
      <c r="G297" s="5" t="n">
        <v>42600</v>
      </c>
      <c r="H297" s="5" t="n">
        <v>39204.78</v>
      </c>
      <c r="I297" s="5" t="n">
        <v>39204.78</v>
      </c>
      <c r="J297" s="5" t="n">
        <v>33543.24</v>
      </c>
      <c r="K297" s="5" t="n">
        <v>33543.24</v>
      </c>
      <c r="L297" s="5" t="n">
        <v>0</v>
      </c>
      <c r="M297" s="5" t="n">
        <v>30870.45</v>
      </c>
      <c r="N297" s="5" t="n">
        <v>2672.789999999997</v>
      </c>
      <c r="O297" s="5" t="n">
        <v>2672.789999999997</v>
      </c>
      <c r="P297" s="4" t="n"/>
      <c r="Q297" s="6" t="n">
        <v>0.92</v>
      </c>
      <c r="R297" s="6" t="n">
        <v>0.9203</v>
      </c>
    </row>
    <row r="298">
      <c r="A298" s="4" t="inlineStr">
        <is>
          <t>25-PC-32861</t>
        </is>
      </c>
      <c r="B298" s="4" t="inlineStr">
        <is>
          <t>Yarrow Point Architectural History Survey</t>
        </is>
      </c>
      <c r="C298" s="4" t="inlineStr">
        <is>
          <t>In Progress</t>
        </is>
      </c>
      <c r="D298" s="4" t="inlineStr">
        <is>
          <t>Fixed fee</t>
        </is>
      </c>
      <c r="E298" s="4" t="inlineStr">
        <is>
          <t>Front Range</t>
        </is>
      </c>
      <c r="F298" s="4" t="inlineStr">
        <is>
          <t>Dean Velazquez</t>
        </is>
      </c>
      <c r="G298" s="5" t="n">
        <v>59200</v>
      </c>
      <c r="H298" s="5" t="n">
        <v>59200</v>
      </c>
      <c r="I298" s="5" t="n">
        <v>54224.79</v>
      </c>
      <c r="J298" s="5" t="n">
        <v>41555.52</v>
      </c>
      <c r="K298" s="5" t="n">
        <v>31694.67</v>
      </c>
      <c r="L298" s="5" t="n">
        <v>9860.85</v>
      </c>
      <c r="M298" s="5" t="n">
        <v>49895.36</v>
      </c>
      <c r="N298" s="5" t="n">
        <v>-8339.840000000004</v>
      </c>
      <c r="O298" s="5" t="n">
        <v>-18200.69</v>
      </c>
      <c r="P298" s="4" t="n"/>
      <c r="Q298" s="6" t="n">
        <v>1</v>
      </c>
      <c r="R298" s="6" t="n">
        <v>1.2007</v>
      </c>
    </row>
    <row r="299">
      <c r="A299" s="4" t="inlineStr">
        <is>
          <t>25-PC-32867</t>
        </is>
      </c>
      <c r="B299" s="4" t="inlineStr">
        <is>
          <t>Larkspur Levee Repair Maritime Remote Sensing Survey</t>
        </is>
      </c>
      <c r="C299" s="4" t="inlineStr">
        <is>
          <t>In Progress</t>
        </is>
      </c>
      <c r="D299" s="4" t="inlineStr">
        <is>
          <t>Fixed fee</t>
        </is>
      </c>
      <c r="E299" s="4" t="inlineStr">
        <is>
          <t>Front Range</t>
        </is>
      </c>
      <c r="F299" s="4" t="inlineStr">
        <is>
          <t>Devon Pitts</t>
        </is>
      </c>
      <c r="G299" s="5" t="n">
        <v>144100</v>
      </c>
      <c r="H299" s="5" t="n">
        <v>87944.23</v>
      </c>
      <c r="I299" s="5" t="n">
        <v>85641.73</v>
      </c>
      <c r="J299" s="5" t="n">
        <v>82727.81</v>
      </c>
      <c r="K299" s="5" t="n">
        <v>82727.81</v>
      </c>
      <c r="L299" s="5" t="n">
        <v>0</v>
      </c>
      <c r="M299" s="5" t="n">
        <v>50486.75</v>
      </c>
      <c r="N299" s="5" t="n">
        <v>32241.06</v>
      </c>
      <c r="O299" s="5" t="n">
        <v>32241.06</v>
      </c>
      <c r="P299" s="4" t="n"/>
      <c r="Q299" s="6" t="n">
        <v>0.61</v>
      </c>
      <c r="R299" s="6" t="n">
        <v>0.6103</v>
      </c>
    </row>
    <row r="300">
      <c r="A300" s="4" t="inlineStr">
        <is>
          <t>25-PC-32885</t>
        </is>
      </c>
      <c r="B300" s="4" t="inlineStr">
        <is>
          <t>Maple Fork Reservoir Historic Resources Evaluation</t>
        </is>
      </c>
      <c r="C300" s="4" t="inlineStr">
        <is>
          <t>In Progress</t>
        </is>
      </c>
      <c r="D300" s="4" t="inlineStr">
        <is>
          <t>Fixed fee</t>
        </is>
      </c>
      <c r="E300" s="4" t="inlineStr">
        <is>
          <t>Front Range</t>
        </is>
      </c>
      <c r="F300" s="4" t="inlineStr">
        <is>
          <t>Kimberly Daugherty</t>
        </is>
      </c>
      <c r="G300" s="5" t="n">
        <v>1706300</v>
      </c>
      <c r="H300" s="5" t="n">
        <v>419067.28</v>
      </c>
      <c r="I300" s="5" t="n">
        <v>394166.15</v>
      </c>
      <c r="J300" s="5" t="n">
        <v>1213962.27</v>
      </c>
      <c r="K300" s="5" t="n">
        <v>1090543.53</v>
      </c>
      <c r="L300" s="5" t="n">
        <v>123418.74</v>
      </c>
      <c r="M300" s="5" t="n">
        <v>298115.17</v>
      </c>
      <c r="N300" s="5" t="n">
        <v>915847.1000000001</v>
      </c>
      <c r="O300" s="5" t="n">
        <v>792428.3600000001</v>
      </c>
      <c r="P300" s="4" t="n"/>
      <c r="Q300" s="6" t="n">
        <v>0.246</v>
      </c>
      <c r="R300" s="6" t="n">
        <v>0.2456</v>
      </c>
    </row>
    <row r="301">
      <c r="A301" s="4" t="inlineStr">
        <is>
          <t>25-PC-32899</t>
        </is>
      </c>
      <c r="B301" s="4" t="inlineStr">
        <is>
          <t>Lone Pine Mixed-Use Development Phase I Survey</t>
        </is>
      </c>
      <c r="C301" s="4" t="inlineStr">
        <is>
          <t>In Progress</t>
        </is>
      </c>
      <c r="D301" s="4" t="inlineStr">
        <is>
          <t>Fixed fee</t>
        </is>
      </c>
      <c r="E301" s="4" t="inlineStr">
        <is>
          <t>Front Range</t>
        </is>
      </c>
      <c r="F301" s="4" t="inlineStr">
        <is>
          <t>Jeremy Tran</t>
        </is>
      </c>
      <c r="G301" s="5" t="n">
        <v>59600</v>
      </c>
      <c r="H301" s="5" t="n">
        <v>59600</v>
      </c>
      <c r="I301" s="5" t="n">
        <v>57228.13</v>
      </c>
      <c r="J301" s="5" t="n">
        <v>51399.04</v>
      </c>
      <c r="K301" s="5" t="n">
        <v>51399.04</v>
      </c>
      <c r="L301" s="5" t="n">
        <v>0</v>
      </c>
      <c r="M301" s="5" t="n">
        <v>74823.59</v>
      </c>
      <c r="N301" s="5" t="n">
        <v>-23424.55</v>
      </c>
      <c r="O301" s="5" t="n">
        <v>-23424.55</v>
      </c>
      <c r="P301" s="4" t="n"/>
      <c r="Q301" s="6" t="n">
        <v>1</v>
      </c>
      <c r="R301" s="6" t="n">
        <v>1.4557</v>
      </c>
    </row>
    <row r="302">
      <c r="A302" s="4" t="inlineStr">
        <is>
          <t>25-PC-32911</t>
        </is>
      </c>
      <c r="B302" s="4" t="inlineStr">
        <is>
          <t>Twin Buttes Wind Farm - Cultural Resources Monitoring</t>
        </is>
      </c>
      <c r="C302" s="4" t="inlineStr">
        <is>
          <t>Lab/Curation</t>
        </is>
      </c>
      <c r="D302" s="4" t="inlineStr">
        <is>
          <t>Time and material</t>
        </is>
      </c>
      <c r="E302" s="4" t="inlineStr">
        <is>
          <t>Front Range</t>
        </is>
      </c>
      <c r="F302" s="4" t="inlineStr">
        <is>
          <t>Jeremy Tran</t>
        </is>
      </c>
      <c r="G302" s="5" t="n">
        <v>13300</v>
      </c>
      <c r="H302" s="5" t="n">
        <v>13300</v>
      </c>
      <c r="I302" s="5" t="n">
        <v>13300</v>
      </c>
      <c r="J302" s="5" t="n">
        <v>8727.43</v>
      </c>
      <c r="K302" s="5" t="n">
        <v>6386.48</v>
      </c>
      <c r="L302" s="5" t="n">
        <v>2340.95</v>
      </c>
      <c r="M302" s="5" t="n">
        <v>16463.41</v>
      </c>
      <c r="N302" s="5" t="n">
        <v>-7735.98</v>
      </c>
      <c r="O302" s="5" t="n">
        <v>-10076.93</v>
      </c>
      <c r="P302" s="4" t="n"/>
      <c r="Q302" s="6" t="n">
        <v>1</v>
      </c>
      <c r="R302" s="6" t="n">
        <v>1.8864</v>
      </c>
    </row>
    <row r="303">
      <c r="A303" s="4" t="inlineStr">
        <is>
          <t>25-PC-32926</t>
        </is>
      </c>
      <c r="B303" s="4" t="inlineStr">
        <is>
          <t>Tamarack Pipeline - Cultural Resources Monitoring</t>
        </is>
      </c>
      <c r="C303" s="4" t="inlineStr">
        <is>
          <t>In Progress</t>
        </is>
      </c>
      <c r="D303" s="4" t="inlineStr">
        <is>
          <t>Time and material</t>
        </is>
      </c>
      <c r="E303" s="4" t="inlineStr">
        <is>
          <t>Front Range</t>
        </is>
      </c>
      <c r="F303" s="4" t="inlineStr">
        <is>
          <t>Jeremy Tran</t>
        </is>
      </c>
      <c r="G303" s="5" t="n">
        <v>328400</v>
      </c>
      <c r="H303" s="5" t="n">
        <v>68635.60000000001</v>
      </c>
      <c r="I303" s="5" t="n">
        <v>68635.60000000001</v>
      </c>
      <c r="J303" s="5" t="n">
        <v>212343.44</v>
      </c>
      <c r="K303" s="5" t="n">
        <v>212343.44</v>
      </c>
      <c r="L303" s="5" t="n">
        <v>0</v>
      </c>
      <c r="M303" s="5" t="n">
        <v>61274.18</v>
      </c>
      <c r="N303" s="5" t="n">
        <v>151069.26</v>
      </c>
      <c r="O303" s="5" t="n">
        <v>151069.26</v>
      </c>
      <c r="P303" s="4" t="n"/>
      <c r="Q303" s="6" t="n">
        <v>0.209</v>
      </c>
      <c r="R303" s="6" t="n">
        <v>0.2886</v>
      </c>
    </row>
    <row r="304">
      <c r="A304" s="4" t="inlineStr">
        <is>
          <t>25-PC-32952</t>
        </is>
      </c>
      <c r="B304" s="4" t="inlineStr">
        <is>
          <t>Eagle Bend Wastewater Plant - Data Recovery</t>
        </is>
      </c>
      <c r="C304" s="4" t="inlineStr">
        <is>
          <t>In Progress</t>
        </is>
      </c>
      <c r="D304" s="4" t="inlineStr">
        <is>
          <t>Fixed fee</t>
        </is>
      </c>
      <c r="E304" s="4" t="inlineStr">
        <is>
          <t>Front Range</t>
        </is>
      </c>
      <c r="F304" s="4" t="inlineStr">
        <is>
          <t>Kimberly Daugherty</t>
        </is>
      </c>
      <c r="G304" s="5" t="n">
        <v>299000</v>
      </c>
      <c r="H304" s="5" t="n">
        <v>149649.5</v>
      </c>
      <c r="I304" s="5" t="n">
        <v>143659.49</v>
      </c>
      <c r="J304" s="5" t="n">
        <v>202368.34</v>
      </c>
      <c r="K304" s="5" t="n">
        <v>160514.68</v>
      </c>
      <c r="L304" s="5" t="n">
        <v>41853.66</v>
      </c>
      <c r="M304" s="5" t="n">
        <v>101282.84</v>
      </c>
      <c r="N304" s="5" t="n">
        <v>101085.5</v>
      </c>
      <c r="O304" s="5" t="n">
        <v>59231.84</v>
      </c>
      <c r="P304" s="4" t="n"/>
      <c r="Q304" s="6" t="n">
        <v>0.5</v>
      </c>
      <c r="R304" s="6" t="n">
        <v>0.5004999999999999</v>
      </c>
    </row>
    <row r="305">
      <c r="A305" s="4" t="inlineStr">
        <is>
          <t>25-PC-33065</t>
        </is>
      </c>
      <c r="B305" s="4" t="inlineStr">
        <is>
          <t>Wren Hollow GIS Mapping</t>
        </is>
      </c>
      <c r="C305" s="4" t="inlineStr">
        <is>
          <t>In Progress</t>
        </is>
      </c>
      <c r="D305" s="4" t="inlineStr">
        <is>
          <t>Fixed fee</t>
        </is>
      </c>
      <c r="E305" s="4" t="inlineStr">
        <is>
          <t>Front Range</t>
        </is>
      </c>
      <c r="F305" s="4" t="inlineStr">
        <is>
          <t>Dean Velazquez</t>
        </is>
      </c>
      <c r="G305" s="5" t="n">
        <v>50400</v>
      </c>
      <c r="H305" s="5" t="n">
        <v>45596.88</v>
      </c>
      <c r="I305" s="5" t="n">
        <v>45596.88</v>
      </c>
      <c r="J305" s="5" t="n">
        <v>40748.4</v>
      </c>
      <c r="K305" s="5" t="n">
        <v>40748.4</v>
      </c>
      <c r="L305" s="5" t="n">
        <v>0</v>
      </c>
      <c r="M305" s="5" t="n">
        <v>36866.22</v>
      </c>
      <c r="N305" s="5" t="n">
        <v>3882.18</v>
      </c>
      <c r="O305" s="5" t="n">
        <v>3882.18</v>
      </c>
      <c r="P305" s="4" t="n"/>
      <c r="Q305" s="6" t="n">
        <v>0.905</v>
      </c>
      <c r="R305" s="6" t="n">
        <v>0.9046999999999999</v>
      </c>
    </row>
    <row r="306">
      <c r="A306" s="4" t="inlineStr">
        <is>
          <t>25-PC-33088</t>
        </is>
      </c>
      <c r="B306" s="4" t="inlineStr">
        <is>
          <t>On-Call: Silver Lake Fiber Route Architectural History Survey</t>
        </is>
      </c>
      <c r="C306" s="4" t="inlineStr">
        <is>
          <t>In Progress</t>
        </is>
      </c>
      <c r="D306" s="4" t="inlineStr">
        <is>
          <t>Fixed fee</t>
        </is>
      </c>
      <c r="E306" s="4" t="inlineStr">
        <is>
          <t>Front Range</t>
        </is>
      </c>
      <c r="F306" s="4" t="inlineStr">
        <is>
          <t>Reginald Vargas</t>
        </is>
      </c>
      <c r="G306" s="5" t="n">
        <v>767800</v>
      </c>
      <c r="H306" s="5" t="n">
        <v>603874.7</v>
      </c>
      <c r="I306" s="5" t="n">
        <v>603874.7</v>
      </c>
      <c r="J306" s="5" t="n">
        <v>553046.34</v>
      </c>
      <c r="K306" s="5" t="n">
        <v>553046.34</v>
      </c>
      <c r="L306" s="5" t="n">
        <v>0</v>
      </c>
      <c r="M306" s="5" t="n">
        <v>434972.87</v>
      </c>
      <c r="N306" s="5" t="n">
        <v>118073.47</v>
      </c>
      <c r="O306" s="5" t="n">
        <v>118073.47</v>
      </c>
      <c r="P306" s="4" t="n"/>
      <c r="Q306" s="6" t="n">
        <v>0.786</v>
      </c>
      <c r="R306" s="6" t="n">
        <v>0.7865</v>
      </c>
    </row>
    <row r="307">
      <c r="A307" s="4" t="inlineStr">
        <is>
          <t>25-PC-33105</t>
        </is>
      </c>
      <c r="B307" s="4" t="inlineStr">
        <is>
          <t>Redbud Data Recovery</t>
        </is>
      </c>
      <c r="C307" s="4" t="inlineStr">
        <is>
          <t>In Progress</t>
        </is>
      </c>
      <c r="D307" s="4" t="inlineStr">
        <is>
          <t>Fixed fee</t>
        </is>
      </c>
      <c r="E307" s="4" t="inlineStr">
        <is>
          <t>Front Range</t>
        </is>
      </c>
      <c r="F307" s="4" t="inlineStr">
        <is>
          <t>Kimberly Daugherty</t>
        </is>
      </c>
      <c r="G307" s="5" t="n">
        <v>3500</v>
      </c>
      <c r="H307" s="5" t="n">
        <v>3500</v>
      </c>
      <c r="I307" s="5" t="n">
        <v>0</v>
      </c>
      <c r="J307" s="5" t="n">
        <v>2324</v>
      </c>
      <c r="K307" s="5" t="n">
        <v>2324</v>
      </c>
      <c r="L307" s="5" t="n">
        <v>0</v>
      </c>
      <c r="M307" s="5" t="n">
        <v>9006.200000000001</v>
      </c>
      <c r="N307" s="5" t="n">
        <v>-6682.200000000001</v>
      </c>
      <c r="O307" s="5" t="n">
        <v>-6682.200000000001</v>
      </c>
      <c r="P307" s="4" t="n"/>
      <c r="Q307" s="6" t="n">
        <v>1</v>
      </c>
      <c r="R307" s="6" t="n">
        <v>3.8753</v>
      </c>
    </row>
    <row r="308">
      <c r="A308" s="4" t="inlineStr">
        <is>
          <t>25-PC-33136</t>
        </is>
      </c>
      <c r="B308" s="4" t="inlineStr">
        <is>
          <t>North Fork Historic Resources Evaluation</t>
        </is>
      </c>
      <c r="C308" s="4" t="inlineStr">
        <is>
          <t>In Progress</t>
        </is>
      </c>
      <c r="D308" s="4" t="inlineStr">
        <is>
          <t>Time and material</t>
        </is>
      </c>
      <c r="E308" s="4" t="inlineStr">
        <is>
          <t>Front Range</t>
        </is>
      </c>
      <c r="F308" s="4" t="inlineStr">
        <is>
          <t>Dean Velazquez</t>
        </is>
      </c>
      <c r="G308" s="5" t="n">
        <v>33200</v>
      </c>
      <c r="H308" s="5" t="n">
        <v>18065.15</v>
      </c>
      <c r="I308" s="5" t="n">
        <v>17533.17</v>
      </c>
      <c r="J308" s="5" t="n">
        <v>22378.06</v>
      </c>
      <c r="K308" s="5" t="n">
        <v>19895.67</v>
      </c>
      <c r="L308" s="5" t="n">
        <v>2482.39</v>
      </c>
      <c r="M308" s="5" t="n">
        <v>12542.52</v>
      </c>
      <c r="N308" s="5" t="n">
        <v>9835.540000000001</v>
      </c>
      <c r="O308" s="5" t="n">
        <v>7353.149999999998</v>
      </c>
      <c r="P308" s="4" t="n"/>
      <c r="Q308" s="6" t="n">
        <v>0.544</v>
      </c>
      <c r="R308" s="6" t="n">
        <v>0.5605</v>
      </c>
    </row>
    <row r="309">
      <c r="A309" s="4" t="inlineStr">
        <is>
          <t>25-PC-33183</t>
        </is>
      </c>
      <c r="B309" s="4" t="inlineStr">
        <is>
          <t>Saltgrass Architectural History Survey</t>
        </is>
      </c>
      <c r="C309" s="4" t="inlineStr">
        <is>
          <t>In Progress</t>
        </is>
      </c>
      <c r="D309" s="4" t="inlineStr">
        <is>
          <t>Fixed fee</t>
        </is>
      </c>
      <c r="E309" s="4" t="inlineStr">
        <is>
          <t>Front Range</t>
        </is>
      </c>
      <c r="F309" s="4" t="inlineStr">
        <is>
          <t>Dean Velazquez</t>
        </is>
      </c>
      <c r="G309" s="5" t="n">
        <v>104500</v>
      </c>
      <c r="H309" s="5" t="n">
        <v>101009.7</v>
      </c>
      <c r="I309" s="5" t="n">
        <v>95400.33</v>
      </c>
      <c r="J309" s="5" t="n">
        <v>79399.10000000001</v>
      </c>
      <c r="K309" s="5" t="n">
        <v>79399.10000000001</v>
      </c>
      <c r="L309" s="5" t="n">
        <v>0</v>
      </c>
      <c r="M309" s="5" t="n">
        <v>76745.42999999999</v>
      </c>
      <c r="N309" s="5" t="n">
        <v>2653.670000000013</v>
      </c>
      <c r="O309" s="5" t="n">
        <v>2653.670000000013</v>
      </c>
      <c r="P309" s="4" t="n"/>
      <c r="Q309" s="6" t="n">
        <v>0.967</v>
      </c>
      <c r="R309" s="6" t="n">
        <v>0.9666</v>
      </c>
    </row>
    <row r="310">
      <c r="A310" s="4" t="inlineStr">
        <is>
          <t>25-PC-33206</t>
        </is>
      </c>
      <c r="B310" s="4" t="inlineStr">
        <is>
          <t>Larkspur Water Main - Phase II Testing</t>
        </is>
      </c>
      <c r="C310" s="4" t="inlineStr">
        <is>
          <t>In Progress</t>
        </is>
      </c>
      <c r="D310" s="4" t="inlineStr">
        <is>
          <t>Fixed fee</t>
        </is>
      </c>
      <c r="E310" s="4" t="inlineStr">
        <is>
          <t>Front Range</t>
        </is>
      </c>
      <c r="F310" s="4" t="inlineStr">
        <is>
          <t>Mindy Galvan</t>
        </is>
      </c>
      <c r="G310" s="5" t="n">
        <v>48800</v>
      </c>
      <c r="H310" s="5" t="n">
        <v>27459.76</v>
      </c>
      <c r="I310" s="5" t="n">
        <v>25370.03</v>
      </c>
      <c r="J310" s="5" t="n">
        <v>39449.92</v>
      </c>
      <c r="K310" s="5" t="n">
        <v>39449.92</v>
      </c>
      <c r="L310" s="5" t="n">
        <v>0</v>
      </c>
      <c r="M310" s="5" t="n">
        <v>22196.74</v>
      </c>
      <c r="N310" s="5" t="n">
        <v>17253.18</v>
      </c>
      <c r="O310" s="5" t="n">
        <v>17253.18</v>
      </c>
      <c r="P310" s="4" t="n"/>
      <c r="Q310" s="6" t="n">
        <v>0.5629999999999999</v>
      </c>
      <c r="R310" s="6" t="n">
        <v>0.5627</v>
      </c>
    </row>
    <row r="311">
      <c r="A311" s="4" t="inlineStr">
        <is>
          <t>25-PC-33294</t>
        </is>
      </c>
      <c r="B311" s="4" t="inlineStr">
        <is>
          <t>Fern Valley Substation - Built Environment Survey</t>
        </is>
      </c>
      <c r="C311" s="4" t="inlineStr">
        <is>
          <t>In Progress</t>
        </is>
      </c>
      <c r="D311" s="4" t="inlineStr">
        <is>
          <t>Fixed fee</t>
        </is>
      </c>
      <c r="E311" s="4" t="inlineStr">
        <is>
          <t>Front Range</t>
        </is>
      </c>
      <c r="F311" s="4" t="inlineStr">
        <is>
          <t>Joanna Herrera</t>
        </is>
      </c>
      <c r="G311" s="5" t="n">
        <v>137200</v>
      </c>
      <c r="H311" s="5" t="n">
        <v>83746.88</v>
      </c>
      <c r="I311" s="5" t="n">
        <v>77650.17999999999</v>
      </c>
      <c r="J311" s="5" t="n">
        <v>91032.2</v>
      </c>
      <c r="K311" s="5" t="n">
        <v>91032.2</v>
      </c>
      <c r="L311" s="5" t="n">
        <v>0</v>
      </c>
      <c r="M311" s="5" t="n">
        <v>55566.27</v>
      </c>
      <c r="N311" s="5" t="n">
        <v>35465.93</v>
      </c>
      <c r="O311" s="5" t="n">
        <v>35465.93</v>
      </c>
      <c r="P311" s="4" t="n"/>
      <c r="Q311" s="6" t="n">
        <v>0.61</v>
      </c>
      <c r="R311" s="6" t="n">
        <v>0.6104000000000001</v>
      </c>
    </row>
    <row r="312">
      <c r="A312" s="4" t="inlineStr">
        <is>
          <t>25-PC-33332</t>
        </is>
      </c>
      <c r="B312" s="4" t="inlineStr">
        <is>
          <t>Willow Springs Cultural Resources Assessment</t>
        </is>
      </c>
      <c r="C312" s="4" t="inlineStr">
        <is>
          <t>In Progress</t>
        </is>
      </c>
      <c r="D312" s="4" t="inlineStr">
        <is>
          <t>Fixed fee</t>
        </is>
      </c>
      <c r="E312" s="4" t="inlineStr">
        <is>
          <t>Front Range</t>
        </is>
      </c>
      <c r="F312" s="4" t="inlineStr">
        <is>
          <t>Dean Velazquez</t>
        </is>
      </c>
      <c r="G312" s="5" t="n">
        <v>91000</v>
      </c>
      <c r="H312" s="5" t="n">
        <v>57721.3</v>
      </c>
      <c r="I312" s="5" t="n">
        <v>54760.99</v>
      </c>
      <c r="J312" s="5" t="n">
        <v>69587.7</v>
      </c>
      <c r="K312" s="5" t="n">
        <v>69587.7</v>
      </c>
      <c r="L312" s="5" t="n">
        <v>0</v>
      </c>
      <c r="M312" s="5" t="n">
        <v>44141.81</v>
      </c>
      <c r="N312" s="5" t="n">
        <v>25445.89</v>
      </c>
      <c r="O312" s="5" t="n">
        <v>25445.89</v>
      </c>
      <c r="P312" s="4" t="n"/>
      <c r="Q312" s="6" t="n">
        <v>0.634</v>
      </c>
      <c r="R312" s="6" t="n">
        <v>0.6343</v>
      </c>
    </row>
    <row r="313">
      <c r="A313" s="4" t="inlineStr">
        <is>
          <t>25-PC-33348</t>
        </is>
      </c>
      <c r="B313" s="4" t="inlineStr">
        <is>
          <t>Dove Canyon Cell Tower Phase II Testing</t>
        </is>
      </c>
      <c r="C313" s="4" t="inlineStr">
        <is>
          <t>In Progress</t>
        </is>
      </c>
      <c r="D313" s="4" t="inlineStr">
        <is>
          <t>Fixed fee</t>
        </is>
      </c>
      <c r="E313" s="4" t="inlineStr">
        <is>
          <t>Front Range</t>
        </is>
      </c>
      <c r="F313" s="4" t="inlineStr">
        <is>
          <t>Mindy Galvan</t>
        </is>
      </c>
      <c r="G313" s="5" t="n">
        <v>161700</v>
      </c>
      <c r="H313" s="5" t="n">
        <v>90374.13</v>
      </c>
      <c r="I313" s="5" t="n">
        <v>90374.13</v>
      </c>
      <c r="J313" s="5" t="n">
        <v>117749.94</v>
      </c>
      <c r="K313" s="5" t="n">
        <v>117749.94</v>
      </c>
      <c r="L313" s="5" t="n">
        <v>0</v>
      </c>
      <c r="M313" s="5" t="n">
        <v>65815.88</v>
      </c>
      <c r="N313" s="5" t="n">
        <v>51934.06</v>
      </c>
      <c r="O313" s="5" t="n">
        <v>51934.06</v>
      </c>
      <c r="P313" s="4" t="n"/>
      <c r="Q313" s="6" t="n">
        <v>0.5590000000000001</v>
      </c>
      <c r="R313" s="6" t="n">
        <v>0.5589</v>
      </c>
    </row>
    <row r="314">
      <c r="A314" s="4" t="inlineStr">
        <is>
          <t>25-PC-33367</t>
        </is>
      </c>
      <c r="B314" s="4" t="inlineStr">
        <is>
          <t>Slate Ridge Rail Siding Archaeological Testing</t>
        </is>
      </c>
      <c r="C314" s="4" t="inlineStr">
        <is>
          <t>Lab/Curation</t>
        </is>
      </c>
      <c r="D314" s="4" t="inlineStr">
        <is>
          <t>Time and material</t>
        </is>
      </c>
      <c r="E314" s="4" t="inlineStr">
        <is>
          <t>Front Range</t>
        </is>
      </c>
      <c r="F314" s="4" t="inlineStr">
        <is>
          <t>Dean Velazquez</t>
        </is>
      </c>
      <c r="G314" s="5" t="n">
        <v>150800</v>
      </c>
      <c r="H314" s="5" t="n">
        <v>55445.9</v>
      </c>
      <c r="I314" s="5" t="n">
        <v>52242.62</v>
      </c>
      <c r="J314" s="5" t="n">
        <v>100689.16</v>
      </c>
      <c r="K314" s="5" t="n">
        <v>100689.16</v>
      </c>
      <c r="L314" s="5" t="n">
        <v>0</v>
      </c>
      <c r="M314" s="5" t="n">
        <v>32787.21</v>
      </c>
      <c r="N314" s="5" t="n">
        <v>67901.95000000001</v>
      </c>
      <c r="O314" s="5" t="n">
        <v>67901.95000000001</v>
      </c>
      <c r="P314" s="4" t="n"/>
      <c r="Q314" s="6" t="n">
        <v>0.368</v>
      </c>
      <c r="R314" s="6" t="n">
        <v>0.3256</v>
      </c>
    </row>
    <row r="315">
      <c r="A315" s="4" t="inlineStr">
        <is>
          <t>25-PC-33473</t>
        </is>
      </c>
      <c r="B315" s="4" t="inlineStr">
        <is>
          <t>Dove Canyon Bridge Replacement Paleontological Monitoring</t>
        </is>
      </c>
      <c r="C315" s="4" t="inlineStr">
        <is>
          <t>In Progress</t>
        </is>
      </c>
      <c r="D315" s="4" t="inlineStr">
        <is>
          <t>Fixed fee</t>
        </is>
      </c>
      <c r="E315" s="4" t="inlineStr">
        <is>
          <t>Front Range</t>
        </is>
      </c>
      <c r="F315" s="4" t="inlineStr">
        <is>
          <t>Devon Pitts</t>
        </is>
      </c>
      <c r="G315" s="5" t="n">
        <v>41600</v>
      </c>
      <c r="H315" s="5" t="n">
        <v>32406.4</v>
      </c>
      <c r="I315" s="5" t="n">
        <v>32210.19</v>
      </c>
      <c r="J315" s="5" t="n">
        <v>29136.64</v>
      </c>
      <c r="K315" s="5" t="n">
        <v>29136.64</v>
      </c>
      <c r="L315" s="5" t="n">
        <v>0</v>
      </c>
      <c r="M315" s="5" t="n">
        <v>22697.51</v>
      </c>
      <c r="N315" s="5" t="n">
        <v>6439.130000000001</v>
      </c>
      <c r="O315" s="5" t="n">
        <v>6439.130000000001</v>
      </c>
      <c r="P315" s="4" t="n"/>
      <c r="Q315" s="6" t="n">
        <v>0.779</v>
      </c>
      <c r="R315" s="6" t="n">
        <v>0.779</v>
      </c>
    </row>
    <row r="316">
      <c r="A316" s="4" t="inlineStr">
        <is>
          <t>25-PC-33522</t>
        </is>
      </c>
      <c r="B316" s="4" t="inlineStr">
        <is>
          <t>Yarrow Point Architectural History Survey</t>
        </is>
      </c>
      <c r="C316" s="4" t="inlineStr">
        <is>
          <t>Final Reporting/Review</t>
        </is>
      </c>
      <c r="D316" s="4" t="inlineStr">
        <is>
          <t>Time and material</t>
        </is>
      </c>
      <c r="E316" s="4" t="inlineStr">
        <is>
          <t>Front Range</t>
        </is>
      </c>
      <c r="F316" s="4" t="inlineStr">
        <is>
          <t>Jeremy Tran</t>
        </is>
      </c>
      <c r="G316" s="5" t="n">
        <v>61800</v>
      </c>
      <c r="H316" s="5" t="n">
        <v>52972.45</v>
      </c>
      <c r="I316" s="5" t="n">
        <v>50630.64</v>
      </c>
      <c r="J316" s="5" t="n">
        <v>42270.22</v>
      </c>
      <c r="K316" s="5" t="n">
        <v>36352.08</v>
      </c>
      <c r="L316" s="5" t="n">
        <v>5918.14</v>
      </c>
      <c r="M316" s="5" t="n">
        <v>34825.45</v>
      </c>
      <c r="N316" s="5" t="n">
        <v>7444.770000000004</v>
      </c>
      <c r="O316" s="5" t="n">
        <v>1526.630000000005</v>
      </c>
      <c r="P316" s="4" t="n"/>
      <c r="Q316" s="6" t="n">
        <v>0.857</v>
      </c>
      <c r="R316" s="6" t="n">
        <v>0.8239</v>
      </c>
    </row>
    <row r="317">
      <c r="A317" s="4" t="inlineStr">
        <is>
          <t>25-PC-33640</t>
        </is>
      </c>
      <c r="B317" s="4" t="inlineStr">
        <is>
          <t>Tamarack Canal Lining - Cultural Resources Assessment</t>
        </is>
      </c>
      <c r="C317" s="4" t="inlineStr">
        <is>
          <t>In Progress</t>
        </is>
      </c>
      <c r="D317" s="4" t="inlineStr">
        <is>
          <t>Fixed fee</t>
        </is>
      </c>
      <c r="E317" s="4" t="inlineStr">
        <is>
          <t>Front Range</t>
        </is>
      </c>
      <c r="F317" s="4" t="inlineStr">
        <is>
          <t>Dean Velazquez</t>
        </is>
      </c>
      <c r="G317" s="5" t="n">
        <v>1444500</v>
      </c>
      <c r="H317" s="5" t="n">
        <v>432049.95</v>
      </c>
      <c r="I317" s="5" t="n">
        <v>417334.9</v>
      </c>
      <c r="J317" s="5" t="n">
        <v>1192145.85</v>
      </c>
      <c r="K317" s="5" t="n">
        <v>1192145.85</v>
      </c>
      <c r="L317" s="5" t="n">
        <v>0</v>
      </c>
      <c r="M317" s="5" t="n">
        <v>356520.28</v>
      </c>
      <c r="N317" s="5" t="n">
        <v>835625.5700000001</v>
      </c>
      <c r="O317" s="5" t="n">
        <v>835625.5700000001</v>
      </c>
      <c r="P317" s="4" t="n"/>
      <c r="Q317" s="6" t="n">
        <v>0.299</v>
      </c>
      <c r="R317" s="6" t="n">
        <v>0.2991</v>
      </c>
    </row>
    <row r="318">
      <c r="A318" s="4" t="inlineStr">
        <is>
          <t>25-PC-33680</t>
        </is>
      </c>
      <c r="B318" s="4" t="inlineStr">
        <is>
          <t>Quail Run School Campus Cultural Resources Monitoring</t>
        </is>
      </c>
      <c r="C318" s="4" t="inlineStr">
        <is>
          <t>In Progress</t>
        </is>
      </c>
      <c r="D318" s="4" t="inlineStr">
        <is>
          <t>Fixed fee</t>
        </is>
      </c>
      <c r="E318" s="4" t="inlineStr">
        <is>
          <t>Front Range</t>
        </is>
      </c>
      <c r="F318" s="4" t="inlineStr">
        <is>
          <t>Kimberly Daugherty</t>
        </is>
      </c>
      <c r="G318" s="5" t="n">
        <v>106800</v>
      </c>
      <c r="H318" s="5" t="n">
        <v>42570.48</v>
      </c>
      <c r="I318" s="5" t="n">
        <v>37483.28</v>
      </c>
      <c r="J318" s="5" t="n">
        <v>80014.56</v>
      </c>
      <c r="K318" s="5" t="n">
        <v>80014.56</v>
      </c>
      <c r="L318" s="5" t="n">
        <v>0</v>
      </c>
      <c r="M318" s="5" t="n">
        <v>31893.67</v>
      </c>
      <c r="N318" s="5" t="n">
        <v>48120.89</v>
      </c>
      <c r="O318" s="5" t="n">
        <v>48120.89</v>
      </c>
      <c r="P318" s="4" t="n"/>
      <c r="Q318" s="6" t="n">
        <v>0.399</v>
      </c>
      <c r="R318" s="6" t="n">
        <v>0.3986</v>
      </c>
    </row>
    <row r="319">
      <c r="A319" s="4" t="inlineStr">
        <is>
          <t>25-PC-33744</t>
        </is>
      </c>
      <c r="B319" s="4" t="inlineStr">
        <is>
          <t>Blue Heron Canal Lining - Curation</t>
        </is>
      </c>
      <c r="C319" s="4" t="inlineStr">
        <is>
          <t>In Progress</t>
        </is>
      </c>
      <c r="D319" s="4" t="inlineStr">
        <is>
          <t>Fixed fee</t>
        </is>
      </c>
      <c r="E319" s="4" t="inlineStr">
        <is>
          <t>Great Lakes</t>
        </is>
      </c>
      <c r="F319" s="4" t="inlineStr">
        <is>
          <t>Nathan Lambert</t>
        </is>
      </c>
      <c r="G319" s="5" t="n">
        <v>87100</v>
      </c>
      <c r="H319" s="5" t="n">
        <v>64332.06</v>
      </c>
      <c r="I319" s="5" t="n">
        <v>64332.06</v>
      </c>
      <c r="J319" s="5" t="n">
        <v>60133.84</v>
      </c>
      <c r="K319" s="5" t="n">
        <v>60133.84</v>
      </c>
      <c r="L319" s="5" t="n">
        <v>0</v>
      </c>
      <c r="M319" s="5" t="n">
        <v>44412.55</v>
      </c>
      <c r="N319" s="5" t="n">
        <v>15721.28999999999</v>
      </c>
      <c r="O319" s="5" t="n">
        <v>15721.28999999999</v>
      </c>
      <c r="P319" s="4" t="n"/>
      <c r="Q319" s="6" t="n">
        <v>0.739</v>
      </c>
      <c r="R319" s="6" t="n">
        <v>0.7386</v>
      </c>
    </row>
    <row r="320">
      <c r="A320" s="4" t="inlineStr">
        <is>
          <t>25-PC-33750</t>
        </is>
      </c>
      <c r="B320" s="4" t="inlineStr">
        <is>
          <t>Kestrel Butte Archaeological Testing</t>
        </is>
      </c>
      <c r="C320" s="4" t="inlineStr">
        <is>
          <t>Transferred Entity</t>
        </is>
      </c>
      <c r="D320" s="4" t="inlineStr">
        <is>
          <t>Fixed fee</t>
        </is>
      </c>
      <c r="E320" s="4" t="inlineStr">
        <is>
          <t>Great Lakes</t>
        </is>
      </c>
      <c r="F320" s="4" t="inlineStr">
        <is>
          <t>Kathleen Galvan</t>
        </is>
      </c>
      <c r="G320" s="5" t="n">
        <v>69600</v>
      </c>
      <c r="H320" s="5" t="n">
        <v>69600</v>
      </c>
      <c r="I320" s="5" t="n">
        <v>64460.42</v>
      </c>
      <c r="J320" s="5" t="n">
        <v>51302.16</v>
      </c>
      <c r="K320" s="5" t="n">
        <v>51302.16</v>
      </c>
      <c r="L320" s="5" t="n">
        <v>0</v>
      </c>
      <c r="M320" s="5" t="n">
        <v>60286.74</v>
      </c>
      <c r="N320" s="5" t="n">
        <v>-8984.579999999994</v>
      </c>
      <c r="O320" s="5" t="n">
        <v>-8984.579999999994</v>
      </c>
      <c r="P320" s="4" t="n"/>
      <c r="Q320" s="6" t="n">
        <v>1</v>
      </c>
      <c r="R320" s="6" t="n">
        <v>1.1751</v>
      </c>
    </row>
    <row r="321">
      <c r="A321" s="4" t="inlineStr">
        <is>
          <t>25-PC-33798</t>
        </is>
      </c>
      <c r="B321" s="4" t="inlineStr">
        <is>
          <t>On-Call: Harbor View Wind Farm Historic Resources Evaluation</t>
        </is>
      </c>
      <c r="C321" s="4" t="inlineStr">
        <is>
          <t>Final Reporting/Review</t>
        </is>
      </c>
      <c r="D321" s="4" t="inlineStr">
        <is>
          <t>Fixed fee</t>
        </is>
      </c>
      <c r="E321" s="4" t="inlineStr">
        <is>
          <t>Great Lakes</t>
        </is>
      </c>
      <c r="F321" s="4" t="inlineStr">
        <is>
          <t>Brendan Padilla</t>
        </is>
      </c>
      <c r="G321" s="5" t="n">
        <v>155300</v>
      </c>
      <c r="H321" s="5" t="n">
        <v>82914.67</v>
      </c>
      <c r="I321" s="5" t="n">
        <v>80025.19</v>
      </c>
      <c r="J321" s="5" t="n">
        <v>128215.68</v>
      </c>
      <c r="K321" s="5" t="n">
        <v>128215.68</v>
      </c>
      <c r="L321" s="5" t="n">
        <v>0</v>
      </c>
      <c r="M321" s="5" t="n">
        <v>68449.64</v>
      </c>
      <c r="N321" s="5" t="n">
        <v>59766.03999999999</v>
      </c>
      <c r="O321" s="5" t="n">
        <v>59766.03999999999</v>
      </c>
      <c r="P321" s="4" t="n"/>
      <c r="Q321" s="6" t="n">
        <v>0.534</v>
      </c>
      <c r="R321" s="6" t="n">
        <v>0.5339</v>
      </c>
    </row>
    <row r="322">
      <c r="A322" s="4" t="inlineStr">
        <is>
          <t>25-PC-33841</t>
        </is>
      </c>
      <c r="B322" s="4" t="inlineStr">
        <is>
          <t>Juniper Wash Built Environment Survey</t>
        </is>
      </c>
      <c r="C322" s="4" t="inlineStr">
        <is>
          <t>In Progress</t>
        </is>
      </c>
      <c r="D322" s="4" t="inlineStr">
        <is>
          <t>Fixed fee</t>
        </is>
      </c>
      <c r="E322" s="4" t="inlineStr">
        <is>
          <t>Great Lakes</t>
        </is>
      </c>
      <c r="F322" s="4" t="inlineStr">
        <is>
          <t>Kathleen Galvan</t>
        </is>
      </c>
      <c r="G322" s="5" t="n">
        <v>586500</v>
      </c>
      <c r="H322" s="5" t="n">
        <v>366034.65</v>
      </c>
      <c r="I322" s="5" t="n">
        <v>366034.65</v>
      </c>
      <c r="J322" s="5" t="n">
        <v>416356.35</v>
      </c>
      <c r="K322" s="5" t="n">
        <v>416356.35</v>
      </c>
      <c r="L322" s="5" t="n">
        <v>0</v>
      </c>
      <c r="M322" s="5" t="n">
        <v>259867.95</v>
      </c>
      <c r="N322" s="5" t="n">
        <v>156488.4</v>
      </c>
      <c r="O322" s="5" t="n">
        <v>156488.4</v>
      </c>
      <c r="P322" s="4" t="n"/>
      <c r="Q322" s="6" t="n">
        <v>0.624</v>
      </c>
      <c r="R322" s="6" t="n">
        <v>0.6241</v>
      </c>
    </row>
    <row r="323">
      <c r="A323" s="4" t="inlineStr">
        <is>
          <t>25-PC-33846</t>
        </is>
      </c>
      <c r="B323" s="4" t="inlineStr">
        <is>
          <t>Task Order 30: Bramble Creek Pipeline Environmental Review Support</t>
        </is>
      </c>
      <c r="C323" s="4" t="inlineStr">
        <is>
          <t>Final Reporting/Review</t>
        </is>
      </c>
      <c r="D323" s="4" t="inlineStr">
        <is>
          <t>Fixed fee</t>
        </is>
      </c>
      <c r="E323" s="4" t="inlineStr">
        <is>
          <t>Great Lakes</t>
        </is>
      </c>
      <c r="F323" s="4" t="inlineStr">
        <is>
          <t>Geoffrey Fernandez</t>
        </is>
      </c>
      <c r="G323" s="5" t="n">
        <v>15200</v>
      </c>
      <c r="H323" s="5" t="n">
        <v>15200</v>
      </c>
      <c r="I323" s="5" t="n">
        <v>15200</v>
      </c>
      <c r="J323" s="5" t="n">
        <v>11021.49</v>
      </c>
      <c r="K323" s="5" t="n">
        <v>9579.99</v>
      </c>
      <c r="L323" s="5" t="n">
        <v>1441.5</v>
      </c>
      <c r="M323" s="5" t="n">
        <v>11383.28</v>
      </c>
      <c r="N323" s="5" t="n">
        <v>-361.7900000000009</v>
      </c>
      <c r="O323" s="5" t="n">
        <v>-1803.290000000001</v>
      </c>
      <c r="P323" s="4" t="n"/>
      <c r="Q323" s="6" t="n">
        <v>1</v>
      </c>
      <c r="R323" s="6" t="n">
        <v>1.0328</v>
      </c>
    </row>
    <row r="324">
      <c r="A324" s="4" t="inlineStr">
        <is>
          <t>25-PC-33855</t>
        </is>
      </c>
      <c r="B324" s="4" t="inlineStr">
        <is>
          <t>Creosote Draw Rail Siding - Paleontological Monitoring</t>
        </is>
      </c>
      <c r="C324" s="4" t="inlineStr">
        <is>
          <t>Final Reporting/Review</t>
        </is>
      </c>
      <c r="D324" s="4" t="inlineStr">
        <is>
          <t>Time and material</t>
        </is>
      </c>
      <c r="E324" s="4" t="inlineStr">
        <is>
          <t>Great Lakes</t>
        </is>
      </c>
      <c r="F324" s="4" t="inlineStr">
        <is>
          <t>Karl Valenzuela</t>
        </is>
      </c>
      <c r="G324" s="5" t="n">
        <v>34000</v>
      </c>
      <c r="H324" s="5" t="n">
        <v>19618</v>
      </c>
      <c r="I324" s="5" t="n">
        <v>18919.13</v>
      </c>
      <c r="J324" s="5" t="n">
        <v>23930.44</v>
      </c>
      <c r="K324" s="5" t="n">
        <v>21188.35</v>
      </c>
      <c r="L324" s="5" t="n">
        <v>2742.09</v>
      </c>
      <c r="M324" s="5" t="n">
        <v>13640.31</v>
      </c>
      <c r="N324" s="5" t="n">
        <v>10290.13</v>
      </c>
      <c r="O324" s="5" t="n">
        <v>7548.039999999999</v>
      </c>
      <c r="P324" s="4" t="n"/>
      <c r="Q324" s="6" t="n">
        <v>0.577</v>
      </c>
      <c r="R324" s="6" t="n">
        <v>0.57</v>
      </c>
    </row>
    <row r="325">
      <c r="A325" s="4" t="inlineStr">
        <is>
          <t>25-PC-33915</t>
        </is>
      </c>
      <c r="B325" s="4" t="inlineStr">
        <is>
          <t>Sage Flat Archaeological Testing</t>
        </is>
      </c>
      <c r="C325" s="4" t="inlineStr">
        <is>
          <t>In Progress</t>
        </is>
      </c>
      <c r="D325" s="4" t="inlineStr">
        <is>
          <t>Fixed fee</t>
        </is>
      </c>
      <c r="E325" s="4" t="inlineStr">
        <is>
          <t>Great Lakes</t>
        </is>
      </c>
      <c r="F325" s="4" t="inlineStr">
        <is>
          <t>Angelica Cervantes</t>
        </is>
      </c>
      <c r="G325" s="5" t="n">
        <v>272400</v>
      </c>
      <c r="H325" s="5" t="n">
        <v>183216.24</v>
      </c>
      <c r="I325" s="5" t="n">
        <v>176595.09</v>
      </c>
      <c r="J325" s="5" t="n">
        <v>198225.48</v>
      </c>
      <c r="K325" s="5" t="n">
        <v>198225.48</v>
      </c>
      <c r="L325" s="5" t="n">
        <v>0</v>
      </c>
      <c r="M325" s="5" t="n">
        <v>133333.04</v>
      </c>
      <c r="N325" s="5" t="n">
        <v>64892.44</v>
      </c>
      <c r="O325" s="5" t="n">
        <v>64892.44</v>
      </c>
      <c r="P325" s="4" t="n"/>
      <c r="Q325" s="6" t="n">
        <v>0.673</v>
      </c>
      <c r="R325" s="6" t="n">
        <v>0.6726</v>
      </c>
    </row>
    <row r="326">
      <c r="A326" s="4" t="inlineStr">
        <is>
          <t>25-PC-33922</t>
        </is>
      </c>
      <c r="B326" s="4" t="inlineStr">
        <is>
          <t>Slate Ridge Data Recovery</t>
        </is>
      </c>
      <c r="C326" s="4" t="inlineStr">
        <is>
          <t>In Progress</t>
        </is>
      </c>
      <c r="D326" s="4" t="inlineStr">
        <is>
          <t>Fixed fee</t>
        </is>
      </c>
      <c r="E326" s="4" t="inlineStr">
        <is>
          <t>Great Lakes</t>
        </is>
      </c>
      <c r="F326" s="4" t="inlineStr">
        <is>
          <t>Nathan Lambert</t>
        </is>
      </c>
      <c r="G326" s="5" t="n">
        <v>22100</v>
      </c>
      <c r="H326" s="5" t="n">
        <v>22100</v>
      </c>
      <c r="I326" s="5" t="n">
        <v>22100</v>
      </c>
      <c r="J326" s="5" t="n">
        <v>16113.11</v>
      </c>
      <c r="K326" s="5" t="n">
        <v>16113.11</v>
      </c>
      <c r="L326" s="5" t="n">
        <v>0</v>
      </c>
      <c r="M326" s="5" t="n">
        <v>33890.09</v>
      </c>
      <c r="N326" s="5" t="n">
        <v>-17776.98</v>
      </c>
      <c r="O326" s="5" t="n">
        <v>-17776.98</v>
      </c>
      <c r="P326" s="4" t="n"/>
      <c r="Q326" s="6" t="n">
        <v>1</v>
      </c>
      <c r="R326" s="6" t="n">
        <v>2.1033</v>
      </c>
    </row>
    <row r="327">
      <c r="A327" s="4" t="inlineStr">
        <is>
          <t>25-PC-33969</t>
        </is>
      </c>
      <c r="B327" s="4" t="inlineStr">
        <is>
          <t>Sumac Ridge Archaeological Testing</t>
        </is>
      </c>
      <c r="C327" s="4" t="inlineStr">
        <is>
          <t>In Progress</t>
        </is>
      </c>
      <c r="D327" s="4" t="inlineStr">
        <is>
          <t>Fixed fee</t>
        </is>
      </c>
      <c r="E327" s="4" t="inlineStr">
        <is>
          <t>Great Lakes</t>
        </is>
      </c>
      <c r="F327" s="4" t="inlineStr">
        <is>
          <t>Leonard Mejia</t>
        </is>
      </c>
      <c r="G327" s="5" t="n">
        <v>13200</v>
      </c>
      <c r="H327" s="5" t="n">
        <v>7814.4</v>
      </c>
      <c r="I327" s="5" t="n">
        <v>7814.4</v>
      </c>
      <c r="J327" s="5" t="n">
        <v>10134.96</v>
      </c>
      <c r="K327" s="5" t="n">
        <v>10134.96</v>
      </c>
      <c r="L327" s="5" t="n">
        <v>0</v>
      </c>
      <c r="M327" s="5" t="n">
        <v>5999.73</v>
      </c>
      <c r="N327" s="5" t="n">
        <v>4135.23</v>
      </c>
      <c r="O327" s="5" t="n">
        <v>4135.23</v>
      </c>
      <c r="P327" s="4" t="n"/>
      <c r="Q327" s="6" t="n">
        <v>0.592</v>
      </c>
      <c r="R327" s="6" t="n">
        <v>0.592</v>
      </c>
    </row>
    <row r="328">
      <c r="A328" s="4" t="inlineStr">
        <is>
          <t>25-PC-34036</t>
        </is>
      </c>
      <c r="B328" s="4" t="inlineStr">
        <is>
          <t>Kestrel Butte Battery Storage - Phase I Survey</t>
        </is>
      </c>
      <c r="C328" s="4" t="inlineStr">
        <is>
          <t>Lab/Curation</t>
        </is>
      </c>
      <c r="D328" s="4" t="inlineStr">
        <is>
          <t>Time and material</t>
        </is>
      </c>
      <c r="E328" s="4" t="inlineStr">
        <is>
          <t>Great Lakes</t>
        </is>
      </c>
      <c r="F328" s="4" t="inlineStr">
        <is>
          <t>Gina Beltran</t>
        </is>
      </c>
      <c r="G328" s="5" t="n">
        <v>62300</v>
      </c>
      <c r="H328" s="5" t="n">
        <v>54230.15</v>
      </c>
      <c r="I328" s="5" t="n">
        <v>47936.1</v>
      </c>
      <c r="J328" s="5" t="n">
        <v>41495.74</v>
      </c>
      <c r="K328" s="5" t="n">
        <v>36709.53</v>
      </c>
      <c r="L328" s="5" t="n">
        <v>4786.21</v>
      </c>
      <c r="M328" s="5" t="n">
        <v>38677.3</v>
      </c>
      <c r="N328" s="5" t="n">
        <v>2818.439999999995</v>
      </c>
      <c r="O328" s="5" t="n">
        <v>-1967.770000000004</v>
      </c>
      <c r="P328" s="4" t="n"/>
      <c r="Q328" s="6" t="n">
        <v>0.87</v>
      </c>
      <c r="R328" s="6" t="n">
        <v>0.9321</v>
      </c>
    </row>
    <row r="329">
      <c r="A329" s="4" t="inlineStr">
        <is>
          <t>25-PC-34077</t>
        </is>
      </c>
      <c r="B329" s="4" t="inlineStr">
        <is>
          <t>Sage Flat Levee Repair Class III Survey</t>
        </is>
      </c>
      <c r="C329" s="4" t="inlineStr">
        <is>
          <t>In Progress</t>
        </is>
      </c>
      <c r="D329" s="4" t="inlineStr">
        <is>
          <t>Fixed fee</t>
        </is>
      </c>
      <c r="E329" s="4" t="inlineStr">
        <is>
          <t>Great Lakes</t>
        </is>
      </c>
      <c r="F329" s="4" t="inlineStr">
        <is>
          <t>Leonard Mejia</t>
        </is>
      </c>
      <c r="G329" s="5" t="n">
        <v>580500</v>
      </c>
      <c r="H329" s="5" t="n">
        <v>289843.65</v>
      </c>
      <c r="I329" s="5" t="n">
        <v>272107.91</v>
      </c>
      <c r="J329" s="5" t="n">
        <v>459697.95</v>
      </c>
      <c r="K329" s="5" t="n">
        <v>459697.95</v>
      </c>
      <c r="L329" s="5" t="n">
        <v>0</v>
      </c>
      <c r="M329" s="5" t="n">
        <v>229510.93</v>
      </c>
      <c r="N329" s="5" t="n">
        <v>230187.02</v>
      </c>
      <c r="O329" s="5" t="n">
        <v>230187.02</v>
      </c>
      <c r="P329" s="4" t="n"/>
      <c r="Q329" s="6" t="n">
        <v>0.499</v>
      </c>
      <c r="R329" s="6" t="n">
        <v>0.4993</v>
      </c>
    </row>
    <row r="330">
      <c r="A330" s="4" t="inlineStr">
        <is>
          <t>25-PC-34088</t>
        </is>
      </c>
      <c r="B330" s="4" t="inlineStr">
        <is>
          <t>Timber Gap Harbor Dredging Cultural Resources Monitoring</t>
        </is>
      </c>
      <c r="C330" s="4" t="inlineStr">
        <is>
          <t>In Progress</t>
        </is>
      </c>
      <c r="D330" s="4" t="inlineStr">
        <is>
          <t>Time and material</t>
        </is>
      </c>
      <c r="E330" s="4" t="inlineStr">
        <is>
          <t>Great Lakes</t>
        </is>
      </c>
      <c r="F330" s="4" t="inlineStr">
        <is>
          <t>Leonard Mejia</t>
        </is>
      </c>
      <c r="G330" s="5" t="n">
        <v>47300</v>
      </c>
      <c r="H330" s="5" t="n">
        <v>32164</v>
      </c>
      <c r="I330" s="5" t="n">
        <v>32164</v>
      </c>
      <c r="J330" s="5" t="n">
        <v>29041.82</v>
      </c>
      <c r="K330" s="5" t="n">
        <v>26577.06</v>
      </c>
      <c r="L330" s="5" t="n">
        <v>2464.76</v>
      </c>
      <c r="M330" s="5" t="n">
        <v>17359.62</v>
      </c>
      <c r="N330" s="5" t="n">
        <v>11682.2</v>
      </c>
      <c r="O330" s="5" t="n">
        <v>9217.440000000002</v>
      </c>
      <c r="P330" s="4" t="n"/>
      <c r="Q330" s="6" t="n">
        <v>0.68</v>
      </c>
      <c r="R330" s="6" t="n">
        <v>0.5977</v>
      </c>
    </row>
    <row r="331">
      <c r="A331" s="4" t="inlineStr">
        <is>
          <t>25-PC-34090</t>
        </is>
      </c>
      <c r="B331" s="4" t="inlineStr">
        <is>
          <t>Thistle Down Data Recovery</t>
        </is>
      </c>
      <c r="C331" s="4" t="inlineStr">
        <is>
          <t>In Progress</t>
        </is>
      </c>
      <c r="D331" s="4" t="inlineStr">
        <is>
          <t>Time and material</t>
        </is>
      </c>
      <c r="E331" s="4" t="inlineStr">
        <is>
          <t>Great Lakes</t>
        </is>
      </c>
      <c r="F331" s="4" t="inlineStr">
        <is>
          <t>Geoffrey Fernandez</t>
        </is>
      </c>
      <c r="G331" s="5" t="n">
        <v>66200</v>
      </c>
      <c r="H331" s="5" t="n">
        <v>34066.3</v>
      </c>
      <c r="I331" s="5" t="n">
        <v>34066.3</v>
      </c>
      <c r="J331" s="5" t="n">
        <v>46862.98</v>
      </c>
      <c r="K331" s="5" t="n">
        <v>46862.98</v>
      </c>
      <c r="L331" s="5" t="n">
        <v>0</v>
      </c>
      <c r="M331" s="5" t="n">
        <v>24068</v>
      </c>
      <c r="N331" s="5" t="n">
        <v>22794.98</v>
      </c>
      <c r="O331" s="5" t="n">
        <v>22794.98</v>
      </c>
      <c r="P331" s="4" t="n"/>
      <c r="Q331" s="6" t="n">
        <v>0.515</v>
      </c>
      <c r="R331" s="6" t="n">
        <v>0.5135999999999999</v>
      </c>
    </row>
    <row r="332">
      <c r="A332" s="4" t="inlineStr">
        <is>
          <t>25-PC-34151</t>
        </is>
      </c>
      <c r="B332" s="4" t="inlineStr">
        <is>
          <t>Bramble Creek Fiber Route Cultural Resources Monitoring</t>
        </is>
      </c>
      <c r="C332" s="4" t="inlineStr">
        <is>
          <t>In Progress</t>
        </is>
      </c>
      <c r="D332" s="4" t="inlineStr">
        <is>
          <t>Time and material</t>
        </is>
      </c>
      <c r="E332" s="4" t="inlineStr">
        <is>
          <t>Great Lakes</t>
        </is>
      </c>
      <c r="F332" s="4" t="inlineStr">
        <is>
          <t>Angelica Cervantes</t>
        </is>
      </c>
      <c r="G332" s="5" t="n">
        <v>505100</v>
      </c>
      <c r="H332" s="5" t="n">
        <v>190049.9</v>
      </c>
      <c r="I332" s="5" t="n">
        <v>181895.54</v>
      </c>
      <c r="J332" s="5" t="n">
        <v>334224.67</v>
      </c>
      <c r="K332" s="5" t="n">
        <v>334224.67</v>
      </c>
      <c r="L332" s="5" t="n">
        <v>0</v>
      </c>
      <c r="M332" s="5" t="n">
        <v>126809.68</v>
      </c>
      <c r="N332" s="5" t="n">
        <v>207414.99</v>
      </c>
      <c r="O332" s="5" t="n">
        <v>207414.99</v>
      </c>
      <c r="P332" s="4" t="n"/>
      <c r="Q332" s="6" t="n">
        <v>0.376</v>
      </c>
      <c r="R332" s="6" t="n">
        <v>0.3794</v>
      </c>
    </row>
    <row r="333">
      <c r="A333" s="4" t="inlineStr">
        <is>
          <t>25-PC-34176</t>
        </is>
      </c>
      <c r="B333" s="4" t="inlineStr">
        <is>
          <t>Meadowlark Mixed-Use Development - Historic Resources Evaluation</t>
        </is>
      </c>
      <c r="C333" s="4" t="inlineStr">
        <is>
          <t>In Progress</t>
        </is>
      </c>
      <c r="D333" s="4" t="inlineStr">
        <is>
          <t>Time and material</t>
        </is>
      </c>
      <c r="E333" s="4" t="inlineStr">
        <is>
          <t>Great Lakes</t>
        </is>
      </c>
      <c r="F333" s="4" t="inlineStr">
        <is>
          <t>Geoffrey Fernandez</t>
        </is>
      </c>
      <c r="G333" s="5" t="n">
        <v>53000</v>
      </c>
      <c r="H333" s="5" t="n">
        <v>53000</v>
      </c>
      <c r="I333" s="5" t="n">
        <v>53000</v>
      </c>
      <c r="J333" s="5" t="n">
        <v>36718.4</v>
      </c>
      <c r="K333" s="5" t="n">
        <v>36718.4</v>
      </c>
      <c r="L333" s="5" t="n">
        <v>0</v>
      </c>
      <c r="M333" s="5" t="n">
        <v>42629.29</v>
      </c>
      <c r="N333" s="5" t="n">
        <v>-5910.889999999999</v>
      </c>
      <c r="O333" s="5" t="n">
        <v>-5910.889999999999</v>
      </c>
      <c r="P333" s="4" t="n"/>
      <c r="Q333" s="6" t="n">
        <v>1</v>
      </c>
      <c r="R333" s="6" t="n">
        <v>1.161</v>
      </c>
    </row>
    <row r="334">
      <c r="A334" s="4" t="inlineStr">
        <is>
          <t>25-PC-34374</t>
        </is>
      </c>
      <c r="B334" s="4" t="inlineStr">
        <is>
          <t>Tansy Flat Reservoir Cultural Resources Assessment</t>
        </is>
      </c>
      <c r="C334" s="4" t="inlineStr">
        <is>
          <t>In Progress</t>
        </is>
      </c>
      <c r="D334" s="4" t="inlineStr">
        <is>
          <t>Time and material</t>
        </is>
      </c>
      <c r="E334" s="4" t="inlineStr">
        <is>
          <t>Great Lakes</t>
        </is>
      </c>
      <c r="F334" s="4" t="inlineStr">
        <is>
          <t>Gina Beltran</t>
        </is>
      </c>
      <c r="G334" s="5" t="n">
        <v>14100</v>
      </c>
      <c r="H334" s="5" t="n">
        <v>5160.6</v>
      </c>
      <c r="I334" s="5" t="n">
        <v>5160.6</v>
      </c>
      <c r="J334" s="5" t="n">
        <v>9871.41</v>
      </c>
      <c r="K334" s="5" t="n">
        <v>9871.41</v>
      </c>
      <c r="L334" s="5" t="n">
        <v>0</v>
      </c>
      <c r="M334" s="5" t="n">
        <v>3661.74</v>
      </c>
      <c r="N334" s="5" t="n">
        <v>6209.67</v>
      </c>
      <c r="O334" s="5" t="n">
        <v>6209.67</v>
      </c>
      <c r="P334" s="4" t="n"/>
      <c r="Q334" s="6" t="n">
        <v>0.366</v>
      </c>
      <c r="R334" s="6" t="n">
        <v>0.3709</v>
      </c>
    </row>
    <row r="335">
      <c r="A335" s="4" t="inlineStr">
        <is>
          <t>25-PC-34451</t>
        </is>
      </c>
      <c r="B335" s="4" t="inlineStr">
        <is>
          <t>North Fork Curation</t>
        </is>
      </c>
      <c r="C335" s="4" t="inlineStr">
        <is>
          <t>In Progress</t>
        </is>
      </c>
      <c r="D335" s="4" t="inlineStr">
        <is>
          <t>Time and material</t>
        </is>
      </c>
      <c r="E335" s="4" t="inlineStr">
        <is>
          <t>Great Lakes</t>
        </is>
      </c>
      <c r="F335" s="4" t="inlineStr">
        <is>
          <t>Robin Mercado</t>
        </is>
      </c>
      <c r="G335" s="5" t="n">
        <v>46400</v>
      </c>
      <c r="H335" s="5" t="n">
        <v>46400</v>
      </c>
      <c r="I335" s="5" t="n">
        <v>46400</v>
      </c>
      <c r="J335" s="5" t="n">
        <v>32526.4</v>
      </c>
      <c r="K335" s="5" t="n">
        <v>32526.4</v>
      </c>
      <c r="L335" s="5" t="n">
        <v>0</v>
      </c>
      <c r="M335" s="5" t="n">
        <v>41685.4</v>
      </c>
      <c r="N335" s="5" t="n">
        <v>-9159</v>
      </c>
      <c r="O335" s="5" t="n">
        <v>-9159</v>
      </c>
      <c r="P335" s="4" t="n"/>
      <c r="Q335" s="6" t="n">
        <v>1</v>
      </c>
      <c r="R335" s="6" t="n">
        <v>1.2816</v>
      </c>
    </row>
    <row r="336">
      <c r="A336" s="4" t="inlineStr">
        <is>
          <t>25-PC-34652</t>
        </is>
      </c>
      <c r="B336" s="4" t="inlineStr">
        <is>
          <t>Coyote Springs Section 106 Consultation</t>
        </is>
      </c>
      <c r="C336" s="4" t="inlineStr">
        <is>
          <t>In Progress</t>
        </is>
      </c>
      <c r="D336" s="4" t="inlineStr">
        <is>
          <t>Fixed fee</t>
        </is>
      </c>
      <c r="E336" s="4" t="inlineStr">
        <is>
          <t>Great Lakes</t>
        </is>
      </c>
      <c r="F336" s="4" t="inlineStr">
        <is>
          <t>Gina Beltran</t>
        </is>
      </c>
      <c r="G336" s="5" t="n">
        <v>210700</v>
      </c>
      <c r="H336" s="5" t="n">
        <v>176145.2</v>
      </c>
      <c r="I336" s="5" t="n">
        <v>157854.18</v>
      </c>
      <c r="J336" s="5" t="n">
        <v>180928.09</v>
      </c>
      <c r="K336" s="5" t="n">
        <v>180928.09</v>
      </c>
      <c r="L336" s="5" t="n">
        <v>0</v>
      </c>
      <c r="M336" s="5" t="n">
        <v>151256.79</v>
      </c>
      <c r="N336" s="5" t="n">
        <v>29671.29999999999</v>
      </c>
      <c r="O336" s="5" t="n">
        <v>29671.29999999999</v>
      </c>
      <c r="P336" s="4" t="n"/>
      <c r="Q336" s="6" t="n">
        <v>0.836</v>
      </c>
      <c r="R336" s="6" t="n">
        <v>0.836</v>
      </c>
    </row>
    <row r="337">
      <c r="A337" s="4" t="inlineStr">
        <is>
          <t>25-PC-34681</t>
        </is>
      </c>
      <c r="B337" s="4" t="inlineStr">
        <is>
          <t>Hawk Point Pipeline Section 106 Consultation</t>
        </is>
      </c>
      <c r="C337" s="4" t="inlineStr">
        <is>
          <t>In Progress</t>
        </is>
      </c>
      <c r="D337" s="4" t="inlineStr">
        <is>
          <t>Fixed fee</t>
        </is>
      </c>
      <c r="E337" s="4" t="inlineStr">
        <is>
          <t>Great Lakes</t>
        </is>
      </c>
      <c r="F337" s="4" t="inlineStr">
        <is>
          <t>Brendan Padilla</t>
        </is>
      </c>
      <c r="G337" s="5" t="n">
        <v>715200</v>
      </c>
      <c r="H337" s="5" t="n">
        <v>264695.52</v>
      </c>
      <c r="I337" s="5" t="n">
        <v>240939.56</v>
      </c>
      <c r="J337" s="5" t="n">
        <v>430908</v>
      </c>
      <c r="K337" s="5" t="n">
        <v>430908</v>
      </c>
      <c r="L337" s="5" t="n">
        <v>0</v>
      </c>
      <c r="M337" s="5" t="n">
        <v>159498.08</v>
      </c>
      <c r="N337" s="5" t="n">
        <v>271409.92</v>
      </c>
      <c r="O337" s="5" t="n">
        <v>271409.92</v>
      </c>
      <c r="P337" s="4" t="n"/>
      <c r="Q337" s="6" t="n">
        <v>0.37</v>
      </c>
      <c r="R337" s="6" t="n">
        <v>0.3701</v>
      </c>
    </row>
    <row r="338">
      <c r="A338" s="4" t="inlineStr">
        <is>
          <t>25-PC-34732</t>
        </is>
      </c>
      <c r="B338" s="4" t="inlineStr">
        <is>
          <t>Thistle Down Trail Architectural History Survey</t>
        </is>
      </c>
      <c r="C338" s="4" t="inlineStr">
        <is>
          <t>In Progress</t>
        </is>
      </c>
      <c r="D338" s="4" t="inlineStr">
        <is>
          <t>Fixed fee</t>
        </is>
      </c>
      <c r="E338" s="4" t="inlineStr">
        <is>
          <t>Great Lakes</t>
        </is>
      </c>
      <c r="F338" s="4" t="inlineStr">
        <is>
          <t>Geoffrey Fernandez</t>
        </is>
      </c>
      <c r="G338" s="5" t="n">
        <v>101800</v>
      </c>
      <c r="H338" s="5" t="n">
        <v>62433.94</v>
      </c>
      <c r="I338" s="5" t="n">
        <v>62433.94</v>
      </c>
      <c r="J338" s="5" t="n">
        <v>76441.62</v>
      </c>
      <c r="K338" s="5" t="n">
        <v>76441.62</v>
      </c>
      <c r="L338" s="5" t="n">
        <v>0</v>
      </c>
      <c r="M338" s="5" t="n">
        <v>46880.67</v>
      </c>
      <c r="N338" s="5" t="n">
        <v>29560.95</v>
      </c>
      <c r="O338" s="5" t="n">
        <v>29560.95</v>
      </c>
      <c r="P338" s="4" t="n"/>
      <c r="Q338" s="6" t="n">
        <v>0.613</v>
      </c>
      <c r="R338" s="6" t="n">
        <v>0.6133</v>
      </c>
    </row>
    <row r="339">
      <c r="A339" s="4" t="inlineStr">
        <is>
          <t>25-PC-34772</t>
        </is>
      </c>
      <c r="B339" s="4" t="inlineStr">
        <is>
          <t>Windmill Flat Paleontological Monitoring</t>
        </is>
      </c>
      <c r="C339" s="4" t="inlineStr">
        <is>
          <t>Final Reporting/Review</t>
        </is>
      </c>
      <c r="D339" s="4" t="inlineStr">
        <is>
          <t>Time and material</t>
        </is>
      </c>
      <c r="E339" s="4" t="inlineStr">
        <is>
          <t>Great Lakes</t>
        </is>
      </c>
      <c r="F339" s="4" t="inlineStr">
        <is>
          <t>Brendan Padilla</t>
        </is>
      </c>
      <c r="G339" s="5" t="n">
        <v>186900</v>
      </c>
      <c r="H339" s="5" t="n">
        <v>20889.75</v>
      </c>
      <c r="I339" s="5" t="n">
        <v>18840.73</v>
      </c>
      <c r="J339" s="5" t="n">
        <v>126437.85</v>
      </c>
      <c r="K339" s="5" t="n">
        <v>126437.85</v>
      </c>
      <c r="L339" s="5" t="n">
        <v>0</v>
      </c>
      <c r="M339" s="5" t="n">
        <v>11925.12</v>
      </c>
      <c r="N339" s="5" t="n">
        <v>114512.73</v>
      </c>
      <c r="O339" s="5" t="n">
        <v>114512.73</v>
      </c>
      <c r="P339" s="4" t="n"/>
      <c r="Q339" s="6" t="n">
        <v>0.112</v>
      </c>
      <c r="R339" s="6" t="n">
        <v>0.09429999999999999</v>
      </c>
    </row>
    <row r="340">
      <c r="A340" s="4" t="inlineStr">
        <is>
          <t>25-PC-34780</t>
        </is>
      </c>
      <c r="B340" s="4" t="inlineStr">
        <is>
          <t>Sumac Ridge Canal Lining Paleontological Monitoring</t>
        </is>
      </c>
      <c r="C340" s="4" t="inlineStr">
        <is>
          <t>In Progress</t>
        </is>
      </c>
      <c r="D340" s="4" t="inlineStr">
        <is>
          <t>Time and material</t>
        </is>
      </c>
      <c r="E340" s="4" t="inlineStr">
        <is>
          <t>Great Lakes</t>
        </is>
      </c>
      <c r="F340" s="4" t="inlineStr">
        <is>
          <t>Gina Beltran</t>
        </is>
      </c>
      <c r="G340" s="5" t="n">
        <v>82200</v>
      </c>
      <c r="H340" s="5" t="n">
        <v>82200</v>
      </c>
      <c r="I340" s="5" t="n">
        <v>65071.92</v>
      </c>
      <c r="J340" s="5" t="n">
        <v>51638.04</v>
      </c>
      <c r="K340" s="5" t="n">
        <v>51638.04</v>
      </c>
      <c r="L340" s="5" t="n">
        <v>0</v>
      </c>
      <c r="M340" s="5" t="n">
        <v>83204.3</v>
      </c>
      <c r="N340" s="5" t="n">
        <v>-31566.26</v>
      </c>
      <c r="O340" s="5" t="n">
        <v>-31566.26</v>
      </c>
      <c r="P340" s="4" t="n"/>
      <c r="Q340" s="6" t="n">
        <v>1</v>
      </c>
      <c r="R340" s="6" t="n">
        <v>1.6113</v>
      </c>
    </row>
    <row r="341">
      <c r="A341" s="4" t="inlineStr">
        <is>
          <t>25-PC-34850</t>
        </is>
      </c>
      <c r="B341" s="4" t="inlineStr">
        <is>
          <t>Thistle Down Section 106 Consultation</t>
        </is>
      </c>
      <c r="C341" s="4" t="inlineStr">
        <is>
          <t>In Progress</t>
        </is>
      </c>
      <c r="D341" s="4" t="inlineStr">
        <is>
          <t>Time and material</t>
        </is>
      </c>
      <c r="E341" s="4" t="inlineStr">
        <is>
          <t>Gulf Coast East</t>
        </is>
      </c>
      <c r="F341" s="4" t="inlineStr">
        <is>
          <t>Wyatt Erickson</t>
        </is>
      </c>
      <c r="G341" s="5" t="n">
        <v>201300</v>
      </c>
      <c r="H341" s="5" t="n">
        <v>129963.25</v>
      </c>
      <c r="I341" s="5" t="n">
        <v>120850.25</v>
      </c>
      <c r="J341" s="5" t="n">
        <v>117035.82</v>
      </c>
      <c r="K341" s="5" t="n">
        <v>117035.82</v>
      </c>
      <c r="L341" s="5" t="n">
        <v>0</v>
      </c>
      <c r="M341" s="5" t="n">
        <v>94500.25999999999</v>
      </c>
      <c r="N341" s="5" t="n">
        <v>22535.56000000001</v>
      </c>
      <c r="O341" s="5" t="n">
        <v>22535.56000000001</v>
      </c>
      <c r="P341" s="4" t="n"/>
      <c r="Q341" s="6" t="n">
        <v>0.646</v>
      </c>
      <c r="R341" s="6" t="n">
        <v>0.8074</v>
      </c>
    </row>
    <row r="342">
      <c r="A342" s="4" t="inlineStr">
        <is>
          <t>25-PC-34871</t>
        </is>
      </c>
      <c r="B342" s="4" t="inlineStr">
        <is>
          <t>Willow Springs GIS Mapping</t>
        </is>
      </c>
      <c r="C342" s="4" t="inlineStr">
        <is>
          <t>Lab/Curation</t>
        </is>
      </c>
      <c r="D342" s="4" t="inlineStr">
        <is>
          <t>Fixed fee</t>
        </is>
      </c>
      <c r="E342" s="4" t="inlineStr">
        <is>
          <t>Gulf Coast East</t>
        </is>
      </c>
      <c r="F342" s="4" t="inlineStr">
        <is>
          <t>Sean Jennings</t>
        </is>
      </c>
      <c r="G342" s="5" t="n">
        <v>338100</v>
      </c>
      <c r="H342" s="5" t="n">
        <v>194779.41</v>
      </c>
      <c r="I342" s="5" t="n">
        <v>173584.4</v>
      </c>
      <c r="J342" s="5" t="n">
        <v>260979.39</v>
      </c>
      <c r="K342" s="5" t="n">
        <v>260979.39</v>
      </c>
      <c r="L342" s="5" t="n">
        <v>0</v>
      </c>
      <c r="M342" s="5" t="n">
        <v>150361.8</v>
      </c>
      <c r="N342" s="5" t="n">
        <v>110617.59</v>
      </c>
      <c r="O342" s="5" t="n">
        <v>110617.59</v>
      </c>
      <c r="P342" s="4" t="n"/>
      <c r="Q342" s="6" t="n">
        <v>0.576</v>
      </c>
      <c r="R342" s="6" t="n">
        <v>0.5760999999999999</v>
      </c>
    </row>
    <row r="343">
      <c r="A343" s="4" t="inlineStr">
        <is>
          <t>25-PC-35024</t>
        </is>
      </c>
      <c r="B343" s="4" t="inlineStr">
        <is>
          <t>Sandpiper Water Main - Section 106 Consultation</t>
        </is>
      </c>
      <c r="C343" s="4" t="inlineStr">
        <is>
          <t>In Progress</t>
        </is>
      </c>
      <c r="D343" s="4" t="inlineStr">
        <is>
          <t>Fixed fee</t>
        </is>
      </c>
      <c r="E343" s="4" t="inlineStr">
        <is>
          <t>Gulf Coast</t>
        </is>
      </c>
      <c r="F343" s="4" t="inlineStr">
        <is>
          <t>Wyatt Erickson</t>
        </is>
      </c>
      <c r="G343" s="5" t="n">
        <v>224400</v>
      </c>
      <c r="H343" s="5" t="n">
        <v>157798.08</v>
      </c>
      <c r="I343" s="5" t="n">
        <v>157798.08</v>
      </c>
      <c r="J343" s="5" t="n">
        <v>165046.2</v>
      </c>
      <c r="K343" s="5" t="n">
        <v>165046.2</v>
      </c>
      <c r="L343" s="5" t="n">
        <v>0</v>
      </c>
      <c r="M343" s="5" t="n">
        <v>116067.93</v>
      </c>
      <c r="N343" s="5" t="n">
        <v>48978.27000000002</v>
      </c>
      <c r="O343" s="5" t="n">
        <v>48978.27000000002</v>
      </c>
      <c r="P343" s="4" t="n"/>
      <c r="Q343" s="6" t="n">
        <v>0.703</v>
      </c>
      <c r="R343" s="6" t="n">
        <v>0.7032</v>
      </c>
    </row>
    <row r="344">
      <c r="A344" s="4" t="inlineStr">
        <is>
          <t>25-PC-35040</t>
        </is>
      </c>
      <c r="B344" s="4" t="inlineStr">
        <is>
          <t>Hackberry Bend Rail Siding Class III Survey</t>
        </is>
      </c>
      <c r="C344" s="4" t="inlineStr">
        <is>
          <t>In Progress</t>
        </is>
      </c>
      <c r="D344" s="4" t="inlineStr">
        <is>
          <t>Time and material</t>
        </is>
      </c>
      <c r="E344" s="4" t="inlineStr">
        <is>
          <t>Gulf Coast East</t>
        </is>
      </c>
      <c r="F344" s="4" t="inlineStr">
        <is>
          <t>Bernard Erickson</t>
        </is>
      </c>
      <c r="G344" s="5" t="n">
        <v>71400</v>
      </c>
      <c r="H344" s="5" t="n">
        <v>71400</v>
      </c>
      <c r="I344" s="5" t="n">
        <v>71400</v>
      </c>
      <c r="J344" s="5" t="n">
        <v>48880.44</v>
      </c>
      <c r="K344" s="5" t="n">
        <v>48880.44</v>
      </c>
      <c r="L344" s="5" t="n">
        <v>0</v>
      </c>
      <c r="M344" s="5" t="n">
        <v>56947.79</v>
      </c>
      <c r="N344" s="5" t="n">
        <v>-8067.349999999999</v>
      </c>
      <c r="O344" s="5" t="n">
        <v>-8067.349999999999</v>
      </c>
      <c r="P344" s="4" t="n"/>
      <c r="Q344" s="6" t="n">
        <v>1</v>
      </c>
      <c r="R344" s="6" t="n">
        <v>1.165</v>
      </c>
    </row>
    <row r="345">
      <c r="A345" s="4" t="inlineStr">
        <is>
          <t>25-PC-35084</t>
        </is>
      </c>
      <c r="B345" s="4" t="inlineStr">
        <is>
          <t>On-Call: Fern Valley Wastewater Plant Class III Survey</t>
        </is>
      </c>
      <c r="C345" s="4" t="inlineStr">
        <is>
          <t>Final Reporting/Review</t>
        </is>
      </c>
      <c r="D345" s="4" t="inlineStr">
        <is>
          <t>Fixed fee</t>
        </is>
      </c>
      <c r="E345" s="4" t="inlineStr">
        <is>
          <t>Gulf Coast East</t>
        </is>
      </c>
      <c r="F345" s="4" t="inlineStr">
        <is>
          <t>Bernard Erickson</t>
        </is>
      </c>
      <c r="G345" s="5" t="n">
        <v>204900</v>
      </c>
      <c r="H345" s="5" t="n">
        <v>142528.44</v>
      </c>
      <c r="I345" s="5" t="n">
        <v>137085.87</v>
      </c>
      <c r="J345" s="5" t="n">
        <v>133588.01</v>
      </c>
      <c r="K345" s="5" t="n">
        <v>98343.72</v>
      </c>
      <c r="L345" s="5" t="n">
        <v>35244.29</v>
      </c>
      <c r="M345" s="5" t="n">
        <v>92924.36</v>
      </c>
      <c r="N345" s="5" t="n">
        <v>40663.65000000001</v>
      </c>
      <c r="O345" s="5" t="n">
        <v>5419.360000000001</v>
      </c>
      <c r="P345" s="4" t="n"/>
      <c r="Q345" s="6" t="n">
        <v>0.696</v>
      </c>
      <c r="R345" s="6" t="n">
        <v>0.6956</v>
      </c>
    </row>
    <row r="346">
      <c r="A346" s="4" t="inlineStr">
        <is>
          <t>25-PC-35131</t>
        </is>
      </c>
      <c r="B346" s="4" t="inlineStr">
        <is>
          <t>Tamarack Phase II Testing</t>
        </is>
      </c>
      <c r="C346" s="4" t="inlineStr">
        <is>
          <t>In Progress</t>
        </is>
      </c>
      <c r="D346" s="4" t="inlineStr">
        <is>
          <t>Fixed fee</t>
        </is>
      </c>
      <c r="E346" s="4" t="inlineStr">
        <is>
          <t>Gulf Coast</t>
        </is>
      </c>
      <c r="F346" s="4" t="inlineStr">
        <is>
          <t>Bernard Erickson</t>
        </is>
      </c>
      <c r="G346" s="5" t="n">
        <v>311900</v>
      </c>
      <c r="H346" s="5" t="n">
        <v>130966.81</v>
      </c>
      <c r="I346" s="5" t="n">
        <v>130966.81</v>
      </c>
      <c r="J346" s="5" t="n">
        <v>227562.24</v>
      </c>
      <c r="K346" s="5" t="n">
        <v>227562.24</v>
      </c>
      <c r="L346" s="5" t="n">
        <v>0</v>
      </c>
      <c r="M346" s="5" t="n">
        <v>95549.55</v>
      </c>
      <c r="N346" s="5" t="n">
        <v>132012.69</v>
      </c>
      <c r="O346" s="5" t="n">
        <v>132012.69</v>
      </c>
      <c r="P346" s="4" t="n"/>
      <c r="Q346" s="6" t="n">
        <v>0.42</v>
      </c>
      <c r="R346" s="6" t="n">
        <v>0.4199</v>
      </c>
    </row>
    <row r="347">
      <c r="A347" s="4" t="inlineStr">
        <is>
          <t>25-PC-35138</t>
        </is>
      </c>
      <c r="B347" s="4" t="inlineStr">
        <is>
          <t>Foxglove Mixed-Use Development - Data Recovery</t>
        </is>
      </c>
      <c r="C347" s="4" t="inlineStr">
        <is>
          <t>In Progress</t>
        </is>
      </c>
      <c r="D347" s="4" t="inlineStr">
        <is>
          <t>Time and material</t>
        </is>
      </c>
      <c r="E347" s="4" t="inlineStr">
        <is>
          <t>Gulf Coast East</t>
        </is>
      </c>
      <c r="F347" s="4" t="inlineStr">
        <is>
          <t>Sean Jennings</t>
        </is>
      </c>
      <c r="G347" s="5" t="n">
        <v>815000</v>
      </c>
      <c r="H347" s="5" t="n">
        <v>593702.25</v>
      </c>
      <c r="I347" s="5" t="n">
        <v>590691.86</v>
      </c>
      <c r="J347" s="5" t="n">
        <v>517757.75</v>
      </c>
      <c r="K347" s="5" t="n">
        <v>477272.64</v>
      </c>
      <c r="L347" s="5" t="n">
        <v>40485.11</v>
      </c>
      <c r="M347" s="5" t="n">
        <v>425247</v>
      </c>
      <c r="N347" s="5" t="n">
        <v>92510.75</v>
      </c>
      <c r="O347" s="5" t="n">
        <v>52025.64000000001</v>
      </c>
      <c r="P347" s="4" t="n"/>
      <c r="Q347" s="6" t="n">
        <v>0.728</v>
      </c>
      <c r="R347" s="6" t="n">
        <v>0.8213</v>
      </c>
    </row>
    <row r="348">
      <c r="A348" s="4" t="inlineStr">
        <is>
          <t>25-PC-35182</t>
        </is>
      </c>
      <c r="B348" s="4" t="inlineStr">
        <is>
          <t>Rushgrass Draw Battery Storage Architectural History Survey</t>
        </is>
      </c>
      <c r="C348" s="4" t="inlineStr">
        <is>
          <t>In Progress</t>
        </is>
      </c>
      <c r="D348" s="4" t="inlineStr">
        <is>
          <t>Time and material</t>
        </is>
      </c>
      <c r="E348" s="4" t="inlineStr">
        <is>
          <t>Gulf Coast</t>
        </is>
      </c>
      <c r="F348" s="4" t="inlineStr">
        <is>
          <t>Wyatt Erickson</t>
        </is>
      </c>
      <c r="G348" s="5" t="n">
        <v>33200</v>
      </c>
      <c r="H348" s="5" t="n">
        <v>33200</v>
      </c>
      <c r="I348" s="5" t="n">
        <v>31529.2</v>
      </c>
      <c r="J348" s="5" t="n">
        <v>23495.64</v>
      </c>
      <c r="K348" s="5" t="n">
        <v>23495.64</v>
      </c>
      <c r="L348" s="5" t="n">
        <v>0</v>
      </c>
      <c r="M348" s="5" t="n">
        <v>28098.77</v>
      </c>
      <c r="N348" s="5" t="n">
        <v>-4603.130000000001</v>
      </c>
      <c r="O348" s="5" t="n">
        <v>-4603.130000000001</v>
      </c>
      <c r="P348" s="4" t="n"/>
      <c r="Q348" s="6" t="n">
        <v>1</v>
      </c>
      <c r="R348" s="6" t="n">
        <v>1.1959</v>
      </c>
    </row>
    <row r="349">
      <c r="A349" s="4" t="inlineStr">
        <is>
          <t>25-PC-35272</t>
        </is>
      </c>
      <c r="B349" s="4" t="inlineStr">
        <is>
          <t>Thistle Down Cell Tower - Historic Resources Evaluation</t>
        </is>
      </c>
      <c r="C349" s="4" t="inlineStr">
        <is>
          <t>In Progress</t>
        </is>
      </c>
      <c r="D349" s="4" t="inlineStr">
        <is>
          <t>Time and material</t>
        </is>
      </c>
      <c r="E349" s="4" t="inlineStr">
        <is>
          <t>Gulf Coast West</t>
        </is>
      </c>
      <c r="F349" s="4" t="inlineStr">
        <is>
          <t>Bernard Erickson</t>
        </is>
      </c>
      <c r="G349" s="5" t="n">
        <v>49900</v>
      </c>
      <c r="H349" s="5" t="n">
        <v>49900</v>
      </c>
      <c r="I349" s="5" t="n">
        <v>47494.52</v>
      </c>
      <c r="J349" s="5" t="n">
        <v>35982.89</v>
      </c>
      <c r="K349" s="5" t="n">
        <v>35982.89</v>
      </c>
      <c r="L349" s="5" t="n">
        <v>0</v>
      </c>
      <c r="M349" s="5" t="n">
        <v>42125.73</v>
      </c>
      <c r="N349" s="5" t="n">
        <v>-6142.840000000004</v>
      </c>
      <c r="O349" s="5" t="n">
        <v>-6142.840000000004</v>
      </c>
      <c r="P349" s="4" t="n"/>
      <c r="Q349" s="6" t="n">
        <v>1</v>
      </c>
      <c r="R349" s="6" t="n">
        <v>1.1707</v>
      </c>
    </row>
    <row r="350">
      <c r="A350" s="4" t="inlineStr">
        <is>
          <t>25-PC-35295</t>
        </is>
      </c>
      <c r="B350" s="4" t="inlineStr">
        <is>
          <t>Copper Flats Architectural History Survey</t>
        </is>
      </c>
      <c r="C350" s="4" t="inlineStr">
        <is>
          <t>In Progress</t>
        </is>
      </c>
      <c r="D350" s="4" t="inlineStr">
        <is>
          <t>Time and material</t>
        </is>
      </c>
      <c r="E350" s="4" t="inlineStr">
        <is>
          <t>Gulf Coast East</t>
        </is>
      </c>
      <c r="F350" s="4" t="inlineStr">
        <is>
          <t>Bernard Erickson</t>
        </is>
      </c>
      <c r="G350" s="5" t="n">
        <v>80400</v>
      </c>
      <c r="H350" s="5" t="n">
        <v>54672</v>
      </c>
      <c r="I350" s="5" t="n">
        <v>54672</v>
      </c>
      <c r="J350" s="5" t="n">
        <v>54551.4</v>
      </c>
      <c r="K350" s="5" t="n">
        <v>54551.4</v>
      </c>
      <c r="L350" s="5" t="n">
        <v>0</v>
      </c>
      <c r="M350" s="5" t="n">
        <v>39686.68</v>
      </c>
      <c r="N350" s="5" t="n">
        <v>14864.72</v>
      </c>
      <c r="O350" s="5" t="n">
        <v>14864.72</v>
      </c>
      <c r="P350" s="4" t="n"/>
      <c r="Q350" s="6" t="n">
        <v>0.68</v>
      </c>
      <c r="R350" s="6" t="n">
        <v>0.7275</v>
      </c>
    </row>
    <row r="351">
      <c r="A351" s="4" t="inlineStr">
        <is>
          <t>25-PC-35340</t>
        </is>
      </c>
      <c r="B351" s="4" t="inlineStr">
        <is>
          <t>Goldfinch Bridge Replacement Paleontological Monitoring</t>
        </is>
      </c>
      <c r="C351" s="4" t="inlineStr">
        <is>
          <t>In Progress</t>
        </is>
      </c>
      <c r="D351" s="4" t="inlineStr">
        <is>
          <t>Fixed fee</t>
        </is>
      </c>
      <c r="E351" s="4" t="inlineStr">
        <is>
          <t>Gulf Coast East</t>
        </is>
      </c>
      <c r="F351" s="4" t="inlineStr">
        <is>
          <t>Bernard Erickson</t>
        </is>
      </c>
      <c r="G351" s="5" t="n">
        <v>19400</v>
      </c>
      <c r="H351" s="5" t="n">
        <v>19400</v>
      </c>
      <c r="I351" s="5" t="n">
        <v>15409.48</v>
      </c>
      <c r="J351" s="5" t="n">
        <v>13919.5</v>
      </c>
      <c r="K351" s="5" t="n">
        <v>13919.5</v>
      </c>
      <c r="L351" s="5" t="n">
        <v>0</v>
      </c>
      <c r="M351" s="5" t="n">
        <v>36287.62</v>
      </c>
      <c r="N351" s="5" t="n">
        <v>-22368.12</v>
      </c>
      <c r="O351" s="5" t="n">
        <v>-22368.12</v>
      </c>
      <c r="P351" s="4" t="n"/>
      <c r="Q351" s="6" t="n">
        <v>1</v>
      </c>
      <c r="R351" s="6" t="n">
        <v>2.607</v>
      </c>
    </row>
    <row r="352">
      <c r="A352" s="4" t="inlineStr">
        <is>
          <t>25-PC-35361</t>
        </is>
      </c>
      <c r="B352" s="4" t="inlineStr">
        <is>
          <t>Millbrook Fiber Route - Historic Resources Evaluation</t>
        </is>
      </c>
      <c r="C352" s="4" t="inlineStr">
        <is>
          <t>In Progress</t>
        </is>
      </c>
      <c r="D352" s="4" t="inlineStr">
        <is>
          <t>Fixed fee</t>
        </is>
      </c>
      <c r="E352" s="4" t="inlineStr">
        <is>
          <t>Gulf Coast</t>
        </is>
      </c>
      <c r="F352" s="4" t="inlineStr">
        <is>
          <t>Courtney Daugherty</t>
        </is>
      </c>
      <c r="G352" s="5" t="n">
        <v>25100</v>
      </c>
      <c r="H352" s="5" t="n">
        <v>25100</v>
      </c>
      <c r="I352" s="5" t="n">
        <v>24927.65</v>
      </c>
      <c r="J352" s="5" t="n">
        <v>20032.31</v>
      </c>
      <c r="K352" s="5" t="n">
        <v>20032.31</v>
      </c>
      <c r="L352" s="5" t="n">
        <v>0</v>
      </c>
      <c r="M352" s="5" t="n">
        <v>27206.94</v>
      </c>
      <c r="N352" s="5" t="n">
        <v>-7174.629999999997</v>
      </c>
      <c r="O352" s="5" t="n">
        <v>-7174.629999999997</v>
      </c>
      <c r="P352" s="4" t="n"/>
      <c r="Q352" s="6" t="n">
        <v>1</v>
      </c>
      <c r="R352" s="6" t="n">
        <v>1.3582</v>
      </c>
    </row>
    <row r="353">
      <c r="A353" s="4" t="inlineStr">
        <is>
          <t>25-PC-35485</t>
        </is>
      </c>
      <c r="B353" s="4" t="inlineStr">
        <is>
          <t>Wren Hollow Transmission Line - Phase I Survey</t>
        </is>
      </c>
      <c r="C353" s="4" t="inlineStr">
        <is>
          <t>In Progress</t>
        </is>
      </c>
      <c r="D353" s="4" t="inlineStr">
        <is>
          <t>Time and material</t>
        </is>
      </c>
      <c r="E353" s="4" t="inlineStr">
        <is>
          <t>High Desert</t>
        </is>
      </c>
      <c r="F353" s="4" t="inlineStr">
        <is>
          <t>Kathy Hurley</t>
        </is>
      </c>
      <c r="G353" s="5" t="n">
        <v>136900</v>
      </c>
      <c r="H353" s="5" t="n">
        <v>136900</v>
      </c>
      <c r="I353" s="5" t="n">
        <v>132838.07</v>
      </c>
      <c r="J353" s="5" t="n">
        <v>90994.45</v>
      </c>
      <c r="K353" s="5" t="n">
        <v>78522.66</v>
      </c>
      <c r="L353" s="5" t="n">
        <v>12471.79</v>
      </c>
      <c r="M353" s="5" t="n">
        <v>119032.95</v>
      </c>
      <c r="N353" s="5" t="n">
        <v>-28038.5</v>
      </c>
      <c r="O353" s="5" t="n">
        <v>-40510.28999999999</v>
      </c>
      <c r="P353" s="4" t="n"/>
      <c r="Q353" s="6" t="n">
        <v>1</v>
      </c>
      <c r="R353" s="6" t="n">
        <v>1.3081</v>
      </c>
    </row>
    <row r="354">
      <c r="A354" s="4" t="inlineStr">
        <is>
          <t>25-PC-35496</t>
        </is>
      </c>
      <c r="B354" s="4" t="inlineStr">
        <is>
          <t>Silver Lake Airport Apron Class III Survey</t>
        </is>
      </c>
      <c r="C354" s="4" t="inlineStr">
        <is>
          <t>In Progress</t>
        </is>
      </c>
      <c r="D354" s="4" t="inlineStr">
        <is>
          <t>Time and material</t>
        </is>
      </c>
      <c r="E354" s="4" t="inlineStr">
        <is>
          <t>High Desert</t>
        </is>
      </c>
      <c r="F354" s="4" t="inlineStr">
        <is>
          <t>Kathy Hurley</t>
        </is>
      </c>
      <c r="G354" s="5" t="n">
        <v>15200</v>
      </c>
      <c r="H354" s="5" t="n">
        <v>14910.4</v>
      </c>
      <c r="I354" s="5" t="n">
        <v>14910.4</v>
      </c>
      <c r="J354" s="5" t="n">
        <v>10132.32</v>
      </c>
      <c r="K354" s="5" t="n">
        <v>10132.32</v>
      </c>
      <c r="L354" s="5" t="n">
        <v>0</v>
      </c>
      <c r="M354" s="5" t="n">
        <v>10426.69</v>
      </c>
      <c r="N354" s="5" t="n">
        <v>-294.3700000000008</v>
      </c>
      <c r="O354" s="5" t="n">
        <v>-294.3700000000008</v>
      </c>
      <c r="P354" s="4" t="n"/>
      <c r="Q354" s="6" t="n">
        <v>0.981</v>
      </c>
      <c r="R354" s="6" t="n">
        <v>1.0291</v>
      </c>
    </row>
    <row r="355">
      <c r="A355" s="4" t="inlineStr">
        <is>
          <t>25-PC-35525</t>
        </is>
      </c>
      <c r="B355" s="4" t="inlineStr">
        <is>
          <t>Dove Canyon Rail Siding - Section 106 Consultation</t>
        </is>
      </c>
      <c r="C355" s="4" t="inlineStr">
        <is>
          <t>In Progress</t>
        </is>
      </c>
      <c r="D355" s="4" t="inlineStr">
        <is>
          <t>Fixed fee</t>
        </is>
      </c>
      <c r="E355" s="4" t="inlineStr">
        <is>
          <t>High Desert</t>
        </is>
      </c>
      <c r="F355" s="4" t="inlineStr">
        <is>
          <t>Bridget Maddox</t>
        </is>
      </c>
      <c r="G355" s="5" t="n">
        <v>98800</v>
      </c>
      <c r="H355" s="5" t="n">
        <v>77370.28</v>
      </c>
      <c r="I355" s="5" t="n">
        <v>77370.28</v>
      </c>
      <c r="J355" s="5" t="n">
        <v>78447.2</v>
      </c>
      <c r="K355" s="5" t="n">
        <v>78447.2</v>
      </c>
      <c r="L355" s="5" t="n">
        <v>0</v>
      </c>
      <c r="M355" s="5" t="n">
        <v>61430.39</v>
      </c>
      <c r="N355" s="5" t="n">
        <v>17016.81</v>
      </c>
      <c r="O355" s="5" t="n">
        <v>17016.81</v>
      </c>
      <c r="P355" s="4" t="n"/>
      <c r="Q355" s="6" t="n">
        <v>0.783</v>
      </c>
      <c r="R355" s="6" t="n">
        <v>0.7831</v>
      </c>
    </row>
    <row r="356">
      <c r="A356" s="4" t="inlineStr">
        <is>
          <t>25-PC-35553</t>
        </is>
      </c>
      <c r="B356" s="4" t="inlineStr">
        <is>
          <t>Rushgrass Draw Rail Siding - Data Recovery</t>
        </is>
      </c>
      <c r="C356" s="4" t="inlineStr">
        <is>
          <t>In Progress</t>
        </is>
      </c>
      <c r="D356" s="4" t="inlineStr">
        <is>
          <t>Time and material</t>
        </is>
      </c>
      <c r="E356" s="4" t="inlineStr">
        <is>
          <t>High Desert</t>
        </is>
      </c>
      <c r="F356" s="4" t="inlineStr">
        <is>
          <t>Eileen Poole</t>
        </is>
      </c>
      <c r="G356" s="5" t="n">
        <v>589900</v>
      </c>
      <c r="H356" s="5" t="n">
        <v>446922.5</v>
      </c>
      <c r="I356" s="5" t="n">
        <v>421582.2</v>
      </c>
      <c r="J356" s="5" t="n">
        <v>444589.27</v>
      </c>
      <c r="K356" s="5" t="n">
        <v>356163.6</v>
      </c>
      <c r="L356" s="5" t="n">
        <v>88425.67</v>
      </c>
      <c r="M356" s="5" t="n">
        <v>314340.18</v>
      </c>
      <c r="N356" s="5" t="n">
        <v>130249.09</v>
      </c>
      <c r="O356" s="5" t="n">
        <v>41823.41999999998</v>
      </c>
      <c r="P356" s="4" t="n"/>
      <c r="Q356" s="6" t="n">
        <v>0.758</v>
      </c>
      <c r="R356" s="6" t="n">
        <v>0.707</v>
      </c>
    </row>
    <row r="357">
      <c r="A357" s="4" t="inlineStr">
        <is>
          <t>25-PC-35740</t>
        </is>
      </c>
      <c r="B357" s="4" t="inlineStr">
        <is>
          <t>Oak Terrace Transmission Line - Historic Resources Evaluation</t>
        </is>
      </c>
      <c r="C357" s="4" t="inlineStr">
        <is>
          <t>In Progress</t>
        </is>
      </c>
      <c r="D357" s="4" t="inlineStr">
        <is>
          <t>Fixed fee</t>
        </is>
      </c>
      <c r="E357" s="4" t="inlineStr">
        <is>
          <t>High Desert</t>
        </is>
      </c>
      <c r="F357" s="4" t="inlineStr">
        <is>
          <t>Kathy Hurley</t>
        </is>
      </c>
      <c r="G357" s="5" t="n">
        <v>28600</v>
      </c>
      <c r="H357" s="5" t="n">
        <v>572</v>
      </c>
      <c r="I357" s="5" t="n">
        <v>572</v>
      </c>
      <c r="J357" s="5" t="n">
        <v>15121.1</v>
      </c>
      <c r="K357" s="5" t="n">
        <v>12638.3</v>
      </c>
      <c r="L357" s="5" t="n">
        <v>2482.8</v>
      </c>
      <c r="M357" s="5" t="n">
        <v>303.1</v>
      </c>
      <c r="N357" s="5" t="n">
        <v>14818</v>
      </c>
      <c r="O357" s="5" t="n">
        <v>12335.2</v>
      </c>
      <c r="P357" s="4" t="n"/>
      <c r="Q357" s="6" t="n">
        <v>0.02</v>
      </c>
      <c r="R357" s="6" t="n">
        <v>0.02</v>
      </c>
    </row>
    <row r="358">
      <c r="A358" s="4" t="inlineStr">
        <is>
          <t>25-PC-35761</t>
        </is>
      </c>
      <c r="B358" s="4" t="inlineStr">
        <is>
          <t>Hackberry Bend Transmission Line Archaeological Testing</t>
        </is>
      </c>
      <c r="C358" s="4" t="inlineStr">
        <is>
          <t>In Progress</t>
        </is>
      </c>
      <c r="D358" s="4" t="inlineStr">
        <is>
          <t>Fixed fee</t>
        </is>
      </c>
      <c r="E358" s="4" t="inlineStr">
        <is>
          <t>High Desert</t>
        </is>
      </c>
      <c r="F358" s="4" t="inlineStr">
        <is>
          <t>Kathy Hurley</t>
        </is>
      </c>
      <c r="G358" s="5" t="n">
        <v>204800</v>
      </c>
      <c r="H358" s="5" t="n">
        <v>204800</v>
      </c>
      <c r="I358" s="5" t="n">
        <v>187347.98</v>
      </c>
      <c r="J358" s="5" t="n">
        <v>136396.8</v>
      </c>
      <c r="K358" s="5" t="n">
        <v>136396.8</v>
      </c>
      <c r="L358" s="5" t="n">
        <v>0</v>
      </c>
      <c r="M358" s="5" t="n">
        <v>140077.69</v>
      </c>
      <c r="N358" s="5" t="n">
        <v>-3680.890000000014</v>
      </c>
      <c r="O358" s="5" t="n">
        <v>-3680.890000000014</v>
      </c>
      <c r="P358" s="4" t="n"/>
      <c r="Q358" s="6" t="n">
        <v>1</v>
      </c>
      <c r="R358" s="6" t="n">
        <v>1.027</v>
      </c>
    </row>
    <row r="359">
      <c r="A359" s="4" t="inlineStr">
        <is>
          <t>25-PC-35779</t>
        </is>
      </c>
      <c r="B359" s="4" t="inlineStr">
        <is>
          <t>Task Order 9: Juniper Wash Wastewater Plant Built Environment Survey</t>
        </is>
      </c>
      <c r="C359" s="4" t="inlineStr">
        <is>
          <t>In Progress</t>
        </is>
      </c>
      <c r="D359" s="4" t="inlineStr">
        <is>
          <t>Fixed fee</t>
        </is>
      </c>
      <c r="E359" s="4" t="inlineStr">
        <is>
          <t>High Desert</t>
        </is>
      </c>
      <c r="F359" s="4" t="inlineStr">
        <is>
          <t>Bridget Maddox</t>
        </is>
      </c>
      <c r="G359" s="5" t="n">
        <v>124800</v>
      </c>
      <c r="H359" s="5" t="n">
        <v>103584</v>
      </c>
      <c r="I359" s="5" t="n">
        <v>101478.5</v>
      </c>
      <c r="J359" s="5" t="n">
        <v>84973.75</v>
      </c>
      <c r="K359" s="5" t="n">
        <v>63196.65</v>
      </c>
      <c r="L359" s="5" t="n">
        <v>21777.1</v>
      </c>
      <c r="M359" s="5" t="n">
        <v>70526.09</v>
      </c>
      <c r="N359" s="5" t="n">
        <v>14447.66</v>
      </c>
      <c r="O359" s="5" t="n">
        <v>-7329.439999999995</v>
      </c>
      <c r="P359" s="4" t="n"/>
      <c r="Q359" s="6" t="n">
        <v>0.83</v>
      </c>
      <c r="R359" s="6" t="n">
        <v>0.83</v>
      </c>
    </row>
    <row r="360">
      <c r="A360" s="4" t="inlineStr">
        <is>
          <t>25-PC-35850</t>
        </is>
      </c>
      <c r="B360" s="4" t="inlineStr">
        <is>
          <t>Pebble Beach Road Environmental Review Support</t>
        </is>
      </c>
      <c r="C360" s="4" t="inlineStr">
        <is>
          <t>Cost Tracking on Closed Project</t>
        </is>
      </c>
      <c r="D360" s="4" t="inlineStr">
        <is>
          <t>Time and material</t>
        </is>
      </c>
      <c r="E360" s="4" t="inlineStr">
        <is>
          <t>High Desert</t>
        </is>
      </c>
      <c r="F360" s="4" t="inlineStr">
        <is>
          <t>Bridget Maddox</t>
        </is>
      </c>
      <c r="G360" s="5" t="n">
        <v>53400</v>
      </c>
      <c r="H360" s="5" t="n">
        <v>36312</v>
      </c>
      <c r="I360" s="5" t="n">
        <v>36312</v>
      </c>
      <c r="J360" s="5" t="n">
        <v>37978.08</v>
      </c>
      <c r="K360" s="5" t="n">
        <v>37978.08</v>
      </c>
      <c r="L360" s="5" t="n">
        <v>0</v>
      </c>
      <c r="M360" s="5" t="n">
        <v>32074.27</v>
      </c>
      <c r="N360" s="5" t="n">
        <v>5903.810000000001</v>
      </c>
      <c r="O360" s="5" t="n">
        <v>5903.810000000001</v>
      </c>
      <c r="P360" s="4" t="n"/>
      <c r="Q360" s="6" t="n">
        <v>0.68</v>
      </c>
      <c r="R360" s="6" t="n">
        <v>0.8445</v>
      </c>
    </row>
    <row r="361">
      <c r="A361" s="4" t="inlineStr">
        <is>
          <t>25-PC-35897</t>
        </is>
      </c>
      <c r="B361" s="4" t="inlineStr">
        <is>
          <t>Phase I: Riverbend Wastewater Plant Class III Survey</t>
        </is>
      </c>
      <c r="C361" s="4" t="inlineStr">
        <is>
          <t>In Progress</t>
        </is>
      </c>
      <c r="D361" s="4" t="inlineStr">
        <is>
          <t>Fixed fee</t>
        </is>
      </c>
      <c r="E361" s="4" t="inlineStr">
        <is>
          <t>High Desert</t>
        </is>
      </c>
      <c r="F361" s="4" t="inlineStr">
        <is>
          <t>Jody Wang</t>
        </is>
      </c>
      <c r="G361" s="5" t="n">
        <v>83700</v>
      </c>
      <c r="H361" s="5" t="n">
        <v>76761.27</v>
      </c>
      <c r="I361" s="5" t="n">
        <v>76761.27</v>
      </c>
      <c r="J361" s="5" t="n">
        <v>61050.78</v>
      </c>
      <c r="K361" s="5" t="n">
        <v>61050.78</v>
      </c>
      <c r="L361" s="5" t="n">
        <v>0</v>
      </c>
      <c r="M361" s="5" t="n">
        <v>55992.16</v>
      </c>
      <c r="N361" s="5" t="n">
        <v>5058.619999999995</v>
      </c>
      <c r="O361" s="5" t="n">
        <v>5058.619999999995</v>
      </c>
      <c r="P361" s="4" t="n"/>
      <c r="Q361" s="6" t="n">
        <v>0.917</v>
      </c>
      <c r="R361" s="6" t="n">
        <v>0.9171</v>
      </c>
    </row>
    <row r="362">
      <c r="A362" s="4" t="inlineStr">
        <is>
          <t>25-PC-35963</t>
        </is>
      </c>
      <c r="B362" s="4" t="inlineStr">
        <is>
          <t>Quail Run Substation - Section 106 Consultation</t>
        </is>
      </c>
      <c r="C362" s="4" t="inlineStr">
        <is>
          <t>In Progress</t>
        </is>
      </c>
      <c r="D362" s="4" t="inlineStr">
        <is>
          <t>Time and material</t>
        </is>
      </c>
      <c r="E362" s="4" t="inlineStr">
        <is>
          <t>High Desert</t>
        </is>
      </c>
      <c r="F362" s="4" t="inlineStr">
        <is>
          <t>Kathy Hurley</t>
        </is>
      </c>
      <c r="G362" s="5" t="n">
        <v>320000</v>
      </c>
      <c r="H362" s="5" t="n">
        <v>290771</v>
      </c>
      <c r="I362" s="5" t="n">
        <v>290771</v>
      </c>
      <c r="J362" s="5" t="n">
        <v>216192</v>
      </c>
      <c r="K362" s="5" t="n">
        <v>216192</v>
      </c>
      <c r="L362" s="5" t="n">
        <v>0</v>
      </c>
      <c r="M362" s="5" t="n">
        <v>202041.59</v>
      </c>
      <c r="N362" s="5" t="n">
        <v>14150.41</v>
      </c>
      <c r="O362" s="5" t="n">
        <v>14150.41</v>
      </c>
      <c r="P362" s="4" t="n"/>
      <c r="Q362" s="6" t="n">
        <v>0.909</v>
      </c>
      <c r="R362" s="6" t="n">
        <v>0.9345</v>
      </c>
    </row>
    <row r="363">
      <c r="A363" s="4" t="inlineStr">
        <is>
          <t>25-PC-35970</t>
        </is>
      </c>
      <c r="B363" s="4" t="inlineStr">
        <is>
          <t>Eagle Bend Wind Farm Phase II Testing</t>
        </is>
      </c>
      <c r="C363" s="4" t="inlineStr">
        <is>
          <t>In Progress</t>
        </is>
      </c>
      <c r="D363" s="4" t="inlineStr">
        <is>
          <t>Fixed fee</t>
        </is>
      </c>
      <c r="E363" s="4" t="inlineStr">
        <is>
          <t>High Desert</t>
        </is>
      </c>
      <c r="F363" s="4" t="inlineStr">
        <is>
          <t>Bridget Maddox</t>
        </is>
      </c>
      <c r="G363" s="5" t="n">
        <v>53200</v>
      </c>
      <c r="H363" s="5" t="n">
        <v>16359</v>
      </c>
      <c r="I363" s="5" t="n">
        <v>16359</v>
      </c>
      <c r="J363" s="5" t="n">
        <v>38886.26</v>
      </c>
      <c r="K363" s="5" t="n">
        <v>35417.28</v>
      </c>
      <c r="L363" s="5" t="n">
        <v>3468.98</v>
      </c>
      <c r="M363" s="5" t="n">
        <v>11957.7</v>
      </c>
      <c r="N363" s="5" t="n">
        <v>26928.56</v>
      </c>
      <c r="O363" s="5" t="n">
        <v>23459.58</v>
      </c>
      <c r="P363" s="4" t="n"/>
      <c r="Q363" s="6" t="n">
        <v>0.307</v>
      </c>
      <c r="R363" s="6" t="n">
        <v>0.3075</v>
      </c>
    </row>
    <row r="364">
      <c r="A364" s="4" t="inlineStr">
        <is>
          <t>25-PC-36051</t>
        </is>
      </c>
      <c r="B364" s="4" t="inlineStr">
        <is>
          <t>Riverbend Levee Repair Archaeological Testing</t>
        </is>
      </c>
      <c r="C364" s="4" t="inlineStr">
        <is>
          <t>In Progress</t>
        </is>
      </c>
      <c r="D364" s="4" t="inlineStr">
        <is>
          <t>Fixed fee</t>
        </is>
      </c>
      <c r="E364" s="4" t="inlineStr">
        <is>
          <t>High Desert</t>
        </is>
      </c>
      <c r="F364" s="4" t="inlineStr">
        <is>
          <t>Bridget Maddox</t>
        </is>
      </c>
      <c r="G364" s="5" t="n">
        <v>405400</v>
      </c>
      <c r="H364" s="5" t="n">
        <v>274617.96</v>
      </c>
      <c r="I364" s="5" t="n">
        <v>274617.96</v>
      </c>
      <c r="J364" s="5" t="n">
        <v>250415.58</v>
      </c>
      <c r="K364" s="5" t="n">
        <v>250415.58</v>
      </c>
      <c r="L364" s="5" t="n">
        <v>0</v>
      </c>
      <c r="M364" s="5" t="n">
        <v>169641.96</v>
      </c>
      <c r="N364" s="5" t="n">
        <v>80773.62</v>
      </c>
      <c r="O364" s="5" t="n">
        <v>80773.62</v>
      </c>
      <c r="P364" s="4" t="n"/>
      <c r="Q364" s="6" t="n">
        <v>0.677</v>
      </c>
      <c r="R364" s="6" t="n">
        <v>0.6774</v>
      </c>
    </row>
    <row r="365">
      <c r="A365" s="4" t="inlineStr">
        <is>
          <t>25-PC-36093</t>
        </is>
      </c>
      <c r="B365" s="4" t="inlineStr">
        <is>
          <t>Pine Hollow Pipeline Cultural Resources Assessment</t>
        </is>
      </c>
      <c r="C365" s="4" t="inlineStr">
        <is>
          <t>Lab/Curation</t>
        </is>
      </c>
      <c r="D365" s="4" t="inlineStr">
        <is>
          <t>Fixed fee</t>
        </is>
      </c>
      <c r="E365" s="4" t="inlineStr">
        <is>
          <t>High Desert</t>
        </is>
      </c>
      <c r="F365" s="4" t="inlineStr">
        <is>
          <t>Jody Wang</t>
        </is>
      </c>
      <c r="G365" s="5" t="n">
        <v>213300</v>
      </c>
      <c r="H365" s="5" t="n">
        <v>150611.13</v>
      </c>
      <c r="I365" s="5" t="n">
        <v>149533.07</v>
      </c>
      <c r="J365" s="5" t="n">
        <v>157884.66</v>
      </c>
      <c r="K365" s="5" t="n">
        <v>157884.66</v>
      </c>
      <c r="L365" s="5" t="n">
        <v>0</v>
      </c>
      <c r="M365" s="5" t="n">
        <v>111476.29</v>
      </c>
      <c r="N365" s="5" t="n">
        <v>46408.37000000001</v>
      </c>
      <c r="O365" s="5" t="n">
        <v>46408.37000000001</v>
      </c>
      <c r="P365" s="4" t="n"/>
      <c r="Q365" s="6" t="n">
        <v>0.706</v>
      </c>
      <c r="R365" s="6" t="n">
        <v>0.7060999999999999</v>
      </c>
    </row>
    <row r="366">
      <c r="A366" s="4" t="inlineStr">
        <is>
          <t>25-PC-36129</t>
        </is>
      </c>
      <c r="B366" s="4" t="inlineStr">
        <is>
          <t>Larkspur Rail Siding Environmental Review Support</t>
        </is>
      </c>
      <c r="C366" s="4" t="inlineStr">
        <is>
          <t>In Progress</t>
        </is>
      </c>
      <c r="D366" s="4" t="inlineStr">
        <is>
          <t>Time and material</t>
        </is>
      </c>
      <c r="E366" s="4" t="inlineStr">
        <is>
          <t>High Desert</t>
        </is>
      </c>
      <c r="F366" s="4" t="inlineStr">
        <is>
          <t>Kathy Hurley</t>
        </is>
      </c>
      <c r="G366" s="5" t="n">
        <v>114200</v>
      </c>
      <c r="H366" s="5" t="n">
        <v>114200</v>
      </c>
      <c r="I366" s="5" t="n">
        <v>114200</v>
      </c>
      <c r="J366" s="5" t="n">
        <v>78124.22</v>
      </c>
      <c r="K366" s="5" t="n">
        <v>78124.22</v>
      </c>
      <c r="L366" s="5" t="n">
        <v>0</v>
      </c>
      <c r="M366" s="5" t="n">
        <v>79562.78999999999</v>
      </c>
      <c r="N366" s="5" t="n">
        <v>-1438.569999999992</v>
      </c>
      <c r="O366" s="5" t="n">
        <v>-1438.569999999992</v>
      </c>
      <c r="P366" s="4" t="n"/>
      <c r="Q366" s="6" t="n">
        <v>1</v>
      </c>
      <c r="R366" s="6" t="n">
        <v>1.0184</v>
      </c>
    </row>
    <row r="367">
      <c r="A367" s="4" t="inlineStr">
        <is>
          <t>25-PC-36251</t>
        </is>
      </c>
      <c r="B367" s="4" t="inlineStr">
        <is>
          <t>Kestrel Butte Environmental Review Support</t>
        </is>
      </c>
      <c r="C367" s="4" t="inlineStr">
        <is>
          <t>Lab/Curation</t>
        </is>
      </c>
      <c r="D367" s="4" t="inlineStr">
        <is>
          <t>Fixed fee</t>
        </is>
      </c>
      <c r="E367" s="4" t="inlineStr">
        <is>
          <t>Island</t>
        </is>
      </c>
      <c r="F367" s="4" t="inlineStr">
        <is>
          <t>Joan Mathis</t>
        </is>
      </c>
      <c r="G367" s="5" t="n">
        <v>39200</v>
      </c>
      <c r="H367" s="5" t="n">
        <v>39200</v>
      </c>
      <c r="I367" s="5" t="n">
        <v>39200</v>
      </c>
      <c r="J367" s="5" t="n">
        <v>30446.64</v>
      </c>
      <c r="K367" s="5" t="n">
        <v>30446.64</v>
      </c>
      <c r="L367" s="5" t="n">
        <v>0</v>
      </c>
      <c r="M367" s="5" t="n">
        <v>49335.55</v>
      </c>
      <c r="N367" s="5" t="n">
        <v>-18888.91</v>
      </c>
      <c r="O367" s="5" t="n">
        <v>-18888.91</v>
      </c>
      <c r="P367" s="4" t="n"/>
      <c r="Q367" s="6" t="n">
        <v>1</v>
      </c>
      <c r="R367" s="6" t="n">
        <v>1.6204</v>
      </c>
    </row>
    <row r="368">
      <c r="A368" s="4" t="inlineStr">
        <is>
          <t>25-PC-36263</t>
        </is>
      </c>
      <c r="B368" s="4" t="inlineStr">
        <is>
          <t>Creosote Draw Highway Widening - Class III Survey</t>
        </is>
      </c>
      <c r="C368" s="4" t="inlineStr">
        <is>
          <t>In Progress</t>
        </is>
      </c>
      <c r="D368" s="4" t="inlineStr">
        <is>
          <t>Time and material</t>
        </is>
      </c>
      <c r="E368" s="4" t="inlineStr">
        <is>
          <t>Island</t>
        </is>
      </c>
      <c r="F368" s="4" t="inlineStr">
        <is>
          <t>Joan Mathis</t>
        </is>
      </c>
      <c r="G368" s="5" t="n">
        <v>28100</v>
      </c>
      <c r="H368" s="5" t="n">
        <v>24522.2</v>
      </c>
      <c r="I368" s="5" t="n">
        <v>24500.73</v>
      </c>
      <c r="J368" s="5" t="n">
        <v>19141.72</v>
      </c>
      <c r="K368" s="5" t="n">
        <v>19141.72</v>
      </c>
      <c r="L368" s="5" t="n">
        <v>0</v>
      </c>
      <c r="M368" s="5" t="n">
        <v>16573.11</v>
      </c>
      <c r="N368" s="5" t="n">
        <v>2568.610000000001</v>
      </c>
      <c r="O368" s="5" t="n">
        <v>2568.610000000001</v>
      </c>
      <c r="P368" s="4" t="n"/>
      <c r="Q368" s="6" t="n">
        <v>0.873</v>
      </c>
      <c r="R368" s="6" t="n">
        <v>0.8658</v>
      </c>
    </row>
    <row r="369">
      <c r="A369" s="4" t="inlineStr">
        <is>
          <t>25-PC-36332</t>
        </is>
      </c>
      <c r="B369" s="4" t="inlineStr">
        <is>
          <t>Goldfinch Data Recovery</t>
        </is>
      </c>
      <c r="C369" s="4" t="inlineStr">
        <is>
          <t>In Progress</t>
        </is>
      </c>
      <c r="D369" s="4" t="inlineStr">
        <is>
          <t>Fixed fee</t>
        </is>
      </c>
      <c r="E369" s="4" t="inlineStr">
        <is>
          <t>Island</t>
        </is>
      </c>
      <c r="F369" s="4" t="inlineStr">
        <is>
          <t>Briana Melton</t>
        </is>
      </c>
      <c r="G369" s="5" t="n">
        <v>871000</v>
      </c>
      <c r="H369" s="5" t="n">
        <v>472953</v>
      </c>
      <c r="I369" s="5" t="n">
        <v>455814.95</v>
      </c>
      <c r="J369" s="5" t="n">
        <v>618958.05</v>
      </c>
      <c r="K369" s="5" t="n">
        <v>566005.77</v>
      </c>
      <c r="L369" s="5" t="n">
        <v>52952.28</v>
      </c>
      <c r="M369" s="5" t="n">
        <v>336119.33</v>
      </c>
      <c r="N369" s="5" t="n">
        <v>282838.72</v>
      </c>
      <c r="O369" s="5" t="n">
        <v>229886.44</v>
      </c>
      <c r="P369" s="4" t="n"/>
      <c r="Q369" s="6" t="n">
        <v>0.543</v>
      </c>
      <c r="R369" s="6" t="n">
        <v>0.543</v>
      </c>
    </row>
    <row r="370">
      <c r="A370" s="4" t="inlineStr">
        <is>
          <t>25-PC-36336</t>
        </is>
      </c>
      <c r="B370" s="4" t="inlineStr">
        <is>
          <t>Sea Oat Canal Lining Data Recovery</t>
        </is>
      </c>
      <c r="C370" s="4" t="inlineStr">
        <is>
          <t>In Progress</t>
        </is>
      </c>
      <c r="D370" s="4" t="inlineStr">
        <is>
          <t>Fixed fee</t>
        </is>
      </c>
      <c r="E370" s="4" t="inlineStr">
        <is>
          <t>Island</t>
        </is>
      </c>
      <c r="F370" s="4" t="inlineStr">
        <is>
          <t>Briana Melton</t>
        </is>
      </c>
      <c r="G370" s="5" t="n">
        <v>36400</v>
      </c>
      <c r="H370" s="5" t="n">
        <v>33364.24</v>
      </c>
      <c r="I370" s="5" t="n">
        <v>29544.7</v>
      </c>
      <c r="J370" s="5" t="n">
        <v>25854.92</v>
      </c>
      <c r="K370" s="5" t="n">
        <v>25854.92</v>
      </c>
      <c r="L370" s="5" t="n">
        <v>0</v>
      </c>
      <c r="M370" s="5" t="n">
        <v>23699.14</v>
      </c>
      <c r="N370" s="5" t="n">
        <v>2155.779999999999</v>
      </c>
      <c r="O370" s="5" t="n">
        <v>2155.779999999999</v>
      </c>
      <c r="P370" s="4" t="n"/>
      <c r="Q370" s="6" t="n">
        <v>0.917</v>
      </c>
      <c r="R370" s="6" t="n">
        <v>0.9166</v>
      </c>
    </row>
    <row r="371">
      <c r="A371" s="4" t="inlineStr">
        <is>
          <t>25-PC-36352</t>
        </is>
      </c>
      <c r="B371" s="4" t="inlineStr">
        <is>
          <t>Phase I: Plover Cove Substation Paleontological Monitoring</t>
        </is>
      </c>
      <c r="C371" s="4" t="inlineStr">
        <is>
          <t>In Progress</t>
        </is>
      </c>
      <c r="D371" s="4" t="inlineStr">
        <is>
          <t>Fixed fee</t>
        </is>
      </c>
      <c r="E371" s="4" t="inlineStr">
        <is>
          <t>Island</t>
        </is>
      </c>
      <c r="F371" s="4" t="inlineStr">
        <is>
          <t>Joan Mathis</t>
        </is>
      </c>
      <c r="G371" s="5" t="n">
        <v>3262900</v>
      </c>
      <c r="H371" s="5" t="n">
        <v>451585.36</v>
      </c>
      <c r="I371" s="5" t="n">
        <v>413628.97</v>
      </c>
      <c r="J371" s="5" t="n">
        <v>2263196.88</v>
      </c>
      <c r="K371" s="5" t="n">
        <v>1903101.18</v>
      </c>
      <c r="L371" s="5" t="n">
        <v>360095.7</v>
      </c>
      <c r="M371" s="5" t="n">
        <v>313300.73</v>
      </c>
      <c r="N371" s="5" t="n">
        <v>1949896.15</v>
      </c>
      <c r="O371" s="5" t="n">
        <v>1589800.45</v>
      </c>
      <c r="P371" s="4" t="n"/>
      <c r="Q371" s="6" t="n">
        <v>0.138</v>
      </c>
      <c r="R371" s="6" t="n">
        <v>0.1384</v>
      </c>
    </row>
    <row r="372">
      <c r="A372" s="4" t="inlineStr">
        <is>
          <t>25-PC-36366</t>
        </is>
      </c>
      <c r="B372" s="4" t="inlineStr">
        <is>
          <t>Lone Pine Solar Data Recovery</t>
        </is>
      </c>
      <c r="C372" s="4" t="inlineStr">
        <is>
          <t>In Progress</t>
        </is>
      </c>
      <c r="D372" s="4" t="inlineStr">
        <is>
          <t>Fixed fee</t>
        </is>
      </c>
      <c r="E372" s="4" t="inlineStr">
        <is>
          <t>Island</t>
        </is>
      </c>
      <c r="F372" s="4" t="inlineStr">
        <is>
          <t>Briana Melton</t>
        </is>
      </c>
      <c r="G372" s="5" t="n">
        <v>119500</v>
      </c>
      <c r="H372" s="5" t="n">
        <v>45517.55</v>
      </c>
      <c r="I372" s="5" t="n">
        <v>41825.58</v>
      </c>
      <c r="J372" s="5" t="n">
        <v>101598.9</v>
      </c>
      <c r="K372" s="5" t="n">
        <v>101598.9</v>
      </c>
      <c r="L372" s="5" t="n">
        <v>0</v>
      </c>
      <c r="M372" s="5" t="n">
        <v>38701.28</v>
      </c>
      <c r="N372" s="5" t="n">
        <v>62897.62</v>
      </c>
      <c r="O372" s="5" t="n">
        <v>62897.62</v>
      </c>
      <c r="P372" s="4" t="n"/>
      <c r="Q372" s="6" t="n">
        <v>0.381</v>
      </c>
      <c r="R372" s="6" t="n">
        <v>0.3809</v>
      </c>
    </row>
    <row r="373">
      <c r="A373" s="4" t="inlineStr">
        <is>
          <t>25-PC-36464</t>
        </is>
      </c>
      <c r="B373" s="4" t="inlineStr">
        <is>
          <t>Larkspur Highway Widening Cultural Resources Assessment</t>
        </is>
      </c>
      <c r="C373" s="4" t="inlineStr">
        <is>
          <t>In Progress</t>
        </is>
      </c>
      <c r="D373" s="4" t="inlineStr">
        <is>
          <t>Time and material</t>
        </is>
      </c>
      <c r="E373" s="4" t="inlineStr">
        <is>
          <t>Island</t>
        </is>
      </c>
      <c r="F373" s="4" t="inlineStr">
        <is>
          <t>Joan Mathis</t>
        </is>
      </c>
      <c r="G373" s="5" t="n">
        <v>102300</v>
      </c>
      <c r="H373" s="5" t="n">
        <v>76761.10000000001</v>
      </c>
      <c r="I373" s="5" t="n">
        <v>76761.10000000001</v>
      </c>
      <c r="J373" s="5" t="n">
        <v>72751.63</v>
      </c>
      <c r="K373" s="5" t="n">
        <v>53089.29</v>
      </c>
      <c r="L373" s="5" t="n">
        <v>19662.34</v>
      </c>
      <c r="M373" s="5" t="n">
        <v>60185.29</v>
      </c>
      <c r="N373" s="5" t="n">
        <v>12566.34</v>
      </c>
      <c r="O373" s="5" t="n">
        <v>-7096</v>
      </c>
      <c r="P373" s="4" t="n"/>
      <c r="Q373" s="6" t="n">
        <v>0.75</v>
      </c>
      <c r="R373" s="6" t="n">
        <v>0.8273</v>
      </c>
    </row>
    <row r="374">
      <c r="A374" s="4" t="inlineStr">
        <is>
          <t>25-PC-36485</t>
        </is>
      </c>
      <c r="B374" s="4" t="inlineStr">
        <is>
          <t>Task Order 2: Larkspur Substation Historic Resources Evaluation</t>
        </is>
      </c>
      <c r="C374" s="4" t="inlineStr">
        <is>
          <t>In Progress</t>
        </is>
      </c>
      <c r="D374" s="4" t="inlineStr">
        <is>
          <t>Fixed fee</t>
        </is>
      </c>
      <c r="E374" s="4" t="inlineStr">
        <is>
          <t>Island</t>
        </is>
      </c>
      <c r="F374" s="4" t="inlineStr">
        <is>
          <t>Becky Velazquez</t>
        </is>
      </c>
      <c r="G374" s="5" t="n">
        <v>33100</v>
      </c>
      <c r="H374" s="5" t="n">
        <v>33100</v>
      </c>
      <c r="I374" s="5" t="n">
        <v>33100</v>
      </c>
      <c r="J374" s="5" t="n">
        <v>25870.96</v>
      </c>
      <c r="K374" s="5" t="n">
        <v>25870.96</v>
      </c>
      <c r="L374" s="5" t="n">
        <v>0</v>
      </c>
      <c r="M374" s="5" t="n">
        <v>34277.75</v>
      </c>
      <c r="N374" s="5" t="n">
        <v>-8406.790000000001</v>
      </c>
      <c r="O374" s="5" t="n">
        <v>-8406.790000000001</v>
      </c>
      <c r="P374" s="4" t="n"/>
      <c r="Q374" s="6" t="n">
        <v>1</v>
      </c>
      <c r="R374" s="6" t="n">
        <v>1.325</v>
      </c>
    </row>
    <row r="375">
      <c r="A375" s="4" t="inlineStr">
        <is>
          <t>25-PC-36507</t>
        </is>
      </c>
      <c r="B375" s="4" t="inlineStr">
        <is>
          <t>Saltgrass Cell Tower Phase II Testing</t>
        </is>
      </c>
      <c r="C375" s="4" t="inlineStr">
        <is>
          <t>In Progress</t>
        </is>
      </c>
      <c r="D375" s="4" t="inlineStr">
        <is>
          <t>Fixed fee</t>
        </is>
      </c>
      <c r="E375" s="4" t="inlineStr">
        <is>
          <t>Island</t>
        </is>
      </c>
      <c r="F375" s="4" t="inlineStr">
        <is>
          <t>Joan Mathis</t>
        </is>
      </c>
      <c r="G375" s="5" t="n">
        <v>88300</v>
      </c>
      <c r="H375" s="5" t="n">
        <v>68397.17999999999</v>
      </c>
      <c r="I375" s="5" t="n">
        <v>67497.39999999999</v>
      </c>
      <c r="J375" s="5" t="n">
        <v>54269.18</v>
      </c>
      <c r="K375" s="5" t="n">
        <v>54269.18</v>
      </c>
      <c r="L375" s="5" t="n">
        <v>0</v>
      </c>
      <c r="M375" s="5" t="n">
        <v>42036.07</v>
      </c>
      <c r="N375" s="5" t="n">
        <v>12233.11</v>
      </c>
      <c r="O375" s="5" t="n">
        <v>12233.11</v>
      </c>
      <c r="P375" s="4" t="n"/>
      <c r="Q375" s="6" t="n">
        <v>0.775</v>
      </c>
      <c r="R375" s="6" t="n">
        <v>0.7746</v>
      </c>
    </row>
    <row r="376">
      <c r="A376" s="4" t="inlineStr">
        <is>
          <t>25-PC-36573</t>
        </is>
      </c>
      <c r="B376" s="4" t="inlineStr">
        <is>
          <t>Eagle Bend Rail Siding - Maritime Remote Sensing Survey</t>
        </is>
      </c>
      <c r="C376" s="4" t="inlineStr">
        <is>
          <t>In Progress</t>
        </is>
      </c>
      <c r="D376" s="4" t="inlineStr">
        <is>
          <t>Fixed fee</t>
        </is>
      </c>
      <c r="E376" s="4" t="inlineStr">
        <is>
          <t>Island</t>
        </is>
      </c>
      <c r="F376" s="4" t="inlineStr">
        <is>
          <t>Becky Velazquez</t>
        </is>
      </c>
      <c r="G376" s="5" t="n">
        <v>116000</v>
      </c>
      <c r="H376" s="5" t="n">
        <v>85573.2</v>
      </c>
      <c r="I376" s="5" t="n">
        <v>85573.2</v>
      </c>
      <c r="J376" s="5" t="n">
        <v>66050.39999999999</v>
      </c>
      <c r="K376" s="5" t="n">
        <v>66050.39999999999</v>
      </c>
      <c r="L376" s="5" t="n">
        <v>0</v>
      </c>
      <c r="M376" s="5" t="n">
        <v>48723.63</v>
      </c>
      <c r="N376" s="5" t="n">
        <v>17326.77</v>
      </c>
      <c r="O376" s="5" t="n">
        <v>17326.77</v>
      </c>
      <c r="P376" s="4" t="n"/>
      <c r="Q376" s="6" t="n">
        <v>0.738</v>
      </c>
      <c r="R376" s="6" t="n">
        <v>0.7377</v>
      </c>
    </row>
    <row r="377">
      <c r="A377" s="4" t="inlineStr">
        <is>
          <t>25-PC-36641</t>
        </is>
      </c>
      <c r="B377" s="4" t="inlineStr">
        <is>
          <t>Sparrow Hill Airport Apron Phase II Testing</t>
        </is>
      </c>
      <c r="C377" s="4" t="inlineStr">
        <is>
          <t>In Progress</t>
        </is>
      </c>
      <c r="D377" s="4" t="inlineStr">
        <is>
          <t>Time and material</t>
        </is>
      </c>
      <c r="E377" s="4" t="inlineStr">
        <is>
          <t>Lakeshore</t>
        </is>
      </c>
      <c r="F377" s="4" t="inlineStr">
        <is>
          <t>Lucas Benson</t>
        </is>
      </c>
      <c r="G377" s="5" t="n">
        <v>181300</v>
      </c>
      <c r="H377" s="5" t="n">
        <v>181300</v>
      </c>
      <c r="I377" s="5" t="n">
        <v>174825.53</v>
      </c>
      <c r="J377" s="5" t="n">
        <v>117609.31</v>
      </c>
      <c r="K377" s="5" t="n">
        <v>117609.31</v>
      </c>
      <c r="L377" s="5" t="n">
        <v>0</v>
      </c>
      <c r="M377" s="5" t="n">
        <v>164790.18</v>
      </c>
      <c r="N377" s="5" t="n">
        <v>-47180.87</v>
      </c>
      <c r="O377" s="5" t="n">
        <v>-47180.87</v>
      </c>
      <c r="P377" s="4" t="n"/>
      <c r="Q377" s="6" t="n">
        <v>1</v>
      </c>
      <c r="R377" s="6" t="n">
        <v>1.4012</v>
      </c>
    </row>
    <row r="378">
      <c r="A378" s="4" t="inlineStr">
        <is>
          <t>25-PC-36645</t>
        </is>
      </c>
      <c r="B378" s="4" t="inlineStr">
        <is>
          <t>Falcon Mesa Archaeological Testing</t>
        </is>
      </c>
      <c r="C378" s="4" t="inlineStr">
        <is>
          <t>In Progress</t>
        </is>
      </c>
      <c r="D378" s="4" t="inlineStr">
        <is>
          <t>Fixed fee</t>
        </is>
      </c>
      <c r="E378" s="4" t="inlineStr">
        <is>
          <t>Lakeshore</t>
        </is>
      </c>
      <c r="F378" s="4" t="inlineStr">
        <is>
          <t>Jeanette Riddle</t>
        </is>
      </c>
      <c r="G378" s="5" t="n">
        <v>25400</v>
      </c>
      <c r="H378" s="5" t="n">
        <v>25400</v>
      </c>
      <c r="I378" s="5" t="n">
        <v>24158.24</v>
      </c>
      <c r="J378" s="5" t="n">
        <v>20302.22</v>
      </c>
      <c r="K378" s="5" t="n">
        <v>20302.22</v>
      </c>
      <c r="L378" s="5" t="n">
        <v>0</v>
      </c>
      <c r="M378" s="5" t="n">
        <v>38922.61</v>
      </c>
      <c r="N378" s="5" t="n">
        <v>-18620.39</v>
      </c>
      <c r="O378" s="5" t="n">
        <v>-18620.39</v>
      </c>
      <c r="P378" s="4" t="n"/>
      <c r="Q378" s="6" t="n">
        <v>1</v>
      </c>
      <c r="R378" s="6" t="n">
        <v>1.9172</v>
      </c>
    </row>
    <row r="379">
      <c r="A379" s="4" t="inlineStr">
        <is>
          <t>25-PC-36646</t>
        </is>
      </c>
      <c r="B379" s="4" t="inlineStr">
        <is>
          <t>Copper Flats Pipeline Section 106 Consultation</t>
        </is>
      </c>
      <c r="C379" s="4" t="inlineStr">
        <is>
          <t>In Progress</t>
        </is>
      </c>
      <c r="D379" s="4" t="inlineStr">
        <is>
          <t>Time and material</t>
        </is>
      </c>
      <c r="E379" s="4" t="inlineStr">
        <is>
          <t>Lakeshore</t>
        </is>
      </c>
      <c r="F379" s="4" t="inlineStr">
        <is>
          <t>Lucas Benson</t>
        </is>
      </c>
      <c r="G379" s="5" t="n">
        <v>137400</v>
      </c>
      <c r="H379" s="5" t="n">
        <v>108023.85</v>
      </c>
      <c r="I379" s="5" t="n">
        <v>108023.85</v>
      </c>
      <c r="J379" s="5" t="n">
        <v>99958.5</v>
      </c>
      <c r="K379" s="5" t="n">
        <v>99958.5</v>
      </c>
      <c r="L379" s="5" t="n">
        <v>0</v>
      </c>
      <c r="M379" s="5" t="n">
        <v>83440.53999999999</v>
      </c>
      <c r="N379" s="5" t="n">
        <v>16517.96000000001</v>
      </c>
      <c r="O379" s="5" t="n">
        <v>16517.96000000001</v>
      </c>
      <c r="P379" s="4" t="n"/>
      <c r="Q379" s="6" t="n">
        <v>0.786</v>
      </c>
      <c r="R379" s="6" t="n">
        <v>0.8348</v>
      </c>
    </row>
    <row r="380">
      <c r="A380" s="4" t="inlineStr">
        <is>
          <t>25-PC-36657</t>
        </is>
      </c>
      <c r="B380" s="4" t="inlineStr">
        <is>
          <t>Stone Mill Park Improvements Phase II Testing</t>
        </is>
      </c>
      <c r="C380" s="4" t="inlineStr">
        <is>
          <t>Final Reporting/Review</t>
        </is>
      </c>
      <c r="D380" s="4" t="inlineStr">
        <is>
          <t>Time and material</t>
        </is>
      </c>
      <c r="E380" s="4" t="inlineStr">
        <is>
          <t>Lakeshore</t>
        </is>
      </c>
      <c r="F380" s="4" t="inlineStr">
        <is>
          <t>Jeanette Riddle</t>
        </is>
      </c>
      <c r="G380" s="5" t="n">
        <v>255700</v>
      </c>
      <c r="H380" s="5" t="n">
        <v>128243.4</v>
      </c>
      <c r="I380" s="5" t="n">
        <v>121473</v>
      </c>
      <c r="J380" s="5" t="n">
        <v>186833.25</v>
      </c>
      <c r="K380" s="5" t="n">
        <v>150017.49</v>
      </c>
      <c r="L380" s="5" t="n">
        <v>36815.76</v>
      </c>
      <c r="M380" s="5" t="n">
        <v>88980.55</v>
      </c>
      <c r="N380" s="5" t="n">
        <v>97852.7</v>
      </c>
      <c r="O380" s="5" t="n">
        <v>61036.93999999999</v>
      </c>
      <c r="P380" s="4" t="n"/>
      <c r="Q380" s="6" t="n">
        <v>0.502</v>
      </c>
      <c r="R380" s="6" t="n">
        <v>0.4763</v>
      </c>
    </row>
    <row r="381">
      <c r="A381" s="4" t="inlineStr">
        <is>
          <t>25-PC-36761</t>
        </is>
      </c>
      <c r="B381" s="4" t="inlineStr">
        <is>
          <t>Copper Flats Mine Expansion Built Environment Survey</t>
        </is>
      </c>
      <c r="C381" s="4" t="inlineStr">
        <is>
          <t>Final Reporting/Review</t>
        </is>
      </c>
      <c r="D381" s="4" t="inlineStr">
        <is>
          <t>Fixed fee</t>
        </is>
      </c>
      <c r="E381" s="4" t="inlineStr">
        <is>
          <t>Lakeshore</t>
        </is>
      </c>
      <c r="F381" s="4" t="inlineStr">
        <is>
          <t>Jeanette Riddle</t>
        </is>
      </c>
      <c r="G381" s="5" t="n">
        <v>74000</v>
      </c>
      <c r="H381" s="5" t="n">
        <v>74000</v>
      </c>
      <c r="I381" s="5" t="n">
        <v>66065.35000000001</v>
      </c>
      <c r="J381" s="5" t="n">
        <v>56358.4</v>
      </c>
      <c r="K381" s="5" t="n">
        <v>56358.4</v>
      </c>
      <c r="L381" s="5" t="n">
        <v>0</v>
      </c>
      <c r="M381" s="5" t="n">
        <v>66079.16</v>
      </c>
      <c r="N381" s="5" t="n">
        <v>-9720.760000000002</v>
      </c>
      <c r="O381" s="5" t="n">
        <v>-9720.760000000002</v>
      </c>
      <c r="P381" s="4" t="n"/>
      <c r="Q381" s="6" t="n">
        <v>1</v>
      </c>
      <c r="R381" s="6" t="n">
        <v>1.1725</v>
      </c>
    </row>
    <row r="382">
      <c r="A382" s="4" t="inlineStr">
        <is>
          <t>25-PC-36799</t>
        </is>
      </c>
      <c r="B382" s="4" t="inlineStr">
        <is>
          <t>Meadowlark Substation Phase I Survey</t>
        </is>
      </c>
      <c r="C382" s="4" t="inlineStr">
        <is>
          <t>Final Reporting/Review</t>
        </is>
      </c>
      <c r="D382" s="4" t="inlineStr">
        <is>
          <t>Fixed fee</t>
        </is>
      </c>
      <c r="E382" s="4" t="inlineStr">
        <is>
          <t>Hill Country</t>
        </is>
      </c>
      <c r="F382" s="4" t="inlineStr">
        <is>
          <t>Gail Meza</t>
        </is>
      </c>
      <c r="G382" s="5" t="n">
        <v>32900</v>
      </c>
      <c r="H382" s="5" t="n">
        <v>32900</v>
      </c>
      <c r="I382" s="5" t="n">
        <v>30883.36</v>
      </c>
      <c r="J382" s="5" t="n">
        <v>26389.09</v>
      </c>
      <c r="K382" s="5" t="n">
        <v>26389.09</v>
      </c>
      <c r="L382" s="5" t="n">
        <v>0</v>
      </c>
      <c r="M382" s="5" t="n">
        <v>33048.52</v>
      </c>
      <c r="N382" s="5" t="n">
        <v>-6659.429999999997</v>
      </c>
      <c r="O382" s="5" t="n">
        <v>-6659.429999999997</v>
      </c>
      <c r="P382" s="4" t="n"/>
      <c r="Q382" s="6" t="n">
        <v>1</v>
      </c>
      <c r="R382" s="6" t="n">
        <v>1.2524</v>
      </c>
    </row>
    <row r="383">
      <c r="A383" s="4" t="inlineStr">
        <is>
          <t>25-PC-36809</t>
        </is>
      </c>
      <c r="B383" s="4" t="inlineStr">
        <is>
          <t>Sandpiper Park Improvements - Archaeological Testing</t>
        </is>
      </c>
      <c r="C383" s="4" t="inlineStr">
        <is>
          <t>In Progress</t>
        </is>
      </c>
      <c r="D383" s="4" t="inlineStr">
        <is>
          <t>Fixed fee</t>
        </is>
      </c>
      <c r="E383" s="4" t="inlineStr">
        <is>
          <t>Hill Country</t>
        </is>
      </c>
      <c r="F383" s="4" t="inlineStr">
        <is>
          <t>Samuel Wilkerson</t>
        </is>
      </c>
      <c r="G383" s="5" t="n">
        <v>24200</v>
      </c>
      <c r="H383" s="5" t="n">
        <v>24200</v>
      </c>
      <c r="I383" s="5" t="n">
        <v>22550.8</v>
      </c>
      <c r="J383" s="5" t="n">
        <v>16235.78</v>
      </c>
      <c r="K383" s="5" t="n">
        <v>16235.78</v>
      </c>
      <c r="L383" s="5" t="n">
        <v>0</v>
      </c>
      <c r="M383" s="5" t="n">
        <v>26420.57</v>
      </c>
      <c r="N383" s="5" t="n">
        <v>-10184.79</v>
      </c>
      <c r="O383" s="5" t="n">
        <v>-10184.79</v>
      </c>
      <c r="P383" s="4" t="n"/>
      <c r="Q383" s="6" t="n">
        <v>1</v>
      </c>
      <c r="R383" s="6" t="n">
        <v>1.6273</v>
      </c>
    </row>
    <row r="384">
      <c r="A384" s="4" t="inlineStr">
        <is>
          <t>25-PC-36832</t>
        </is>
      </c>
      <c r="B384" s="4" t="inlineStr">
        <is>
          <t>Stone Mill Phase I Survey</t>
        </is>
      </c>
      <c r="C384" s="4" t="inlineStr">
        <is>
          <t>In Progress</t>
        </is>
      </c>
      <c r="D384" s="4" t="inlineStr">
        <is>
          <t>Fixed fee</t>
        </is>
      </c>
      <c r="E384" s="4" t="inlineStr">
        <is>
          <t>Hill Country</t>
        </is>
      </c>
      <c r="F384" s="4" t="inlineStr">
        <is>
          <t>Theresa Fernandez</t>
        </is>
      </c>
      <c r="G384" s="5" t="n">
        <v>78400</v>
      </c>
      <c r="H384" s="5" t="n">
        <v>44029.44</v>
      </c>
      <c r="I384" s="5" t="n">
        <v>44029.44</v>
      </c>
      <c r="J384" s="5" t="n">
        <v>52449.6</v>
      </c>
      <c r="K384" s="5" t="n">
        <v>52449.6</v>
      </c>
      <c r="L384" s="5" t="n">
        <v>0</v>
      </c>
      <c r="M384" s="5" t="n">
        <v>29456.38</v>
      </c>
      <c r="N384" s="5" t="n">
        <v>22993.22</v>
      </c>
      <c r="O384" s="5" t="n">
        <v>22993.22</v>
      </c>
      <c r="P384" s="4" t="n"/>
      <c r="Q384" s="6" t="n">
        <v>0.5620000000000001</v>
      </c>
      <c r="R384" s="6" t="n">
        <v>0.5616</v>
      </c>
    </row>
    <row r="385">
      <c r="A385" s="4" t="inlineStr">
        <is>
          <t>25-PC-36838</t>
        </is>
      </c>
      <c r="B385" s="4" t="inlineStr">
        <is>
          <t>Phase II: Granite Pass Highway Widening Environmental Review Support</t>
        </is>
      </c>
      <c r="C385" s="4" t="inlineStr">
        <is>
          <t>Final Reporting/Review</t>
        </is>
      </c>
      <c r="D385" s="4" t="inlineStr">
        <is>
          <t>Time and material</t>
        </is>
      </c>
      <c r="E385" s="4" t="inlineStr">
        <is>
          <t>Hill Country</t>
        </is>
      </c>
      <c r="F385" s="4" t="inlineStr">
        <is>
          <t>Samuel Wilkerson</t>
        </is>
      </c>
      <c r="G385" s="5" t="n">
        <v>216400</v>
      </c>
      <c r="H385" s="5" t="n">
        <v>216400</v>
      </c>
      <c r="I385" s="5" t="n">
        <v>203236.1</v>
      </c>
      <c r="J385" s="5" t="n">
        <v>160499.18</v>
      </c>
      <c r="K385" s="5" t="n">
        <v>119267.1</v>
      </c>
      <c r="L385" s="5" t="n">
        <v>41232.08</v>
      </c>
      <c r="M385" s="5" t="n">
        <v>158776.88</v>
      </c>
      <c r="N385" s="5" t="n">
        <v>1722.299999999988</v>
      </c>
      <c r="O385" s="5" t="n">
        <v>-39509.78</v>
      </c>
      <c r="P385" s="4" t="n"/>
      <c r="Q385" s="6" t="n">
        <v>1</v>
      </c>
      <c r="R385" s="6" t="n">
        <v>0.9893</v>
      </c>
    </row>
    <row r="386">
      <c r="A386" s="4" t="inlineStr">
        <is>
          <t>25-PC-37164</t>
        </is>
      </c>
      <c r="B386" s="4" t="inlineStr">
        <is>
          <t>Yarrow Point Wastewater Plant - Phase I Survey</t>
        </is>
      </c>
      <c r="C386" s="4" t="inlineStr">
        <is>
          <t>In Progress</t>
        </is>
      </c>
      <c r="D386" s="4" t="inlineStr">
        <is>
          <t>Time and material</t>
        </is>
      </c>
      <c r="E386" s="4" t="inlineStr">
        <is>
          <t>Hill Country</t>
        </is>
      </c>
      <c r="F386" s="4" t="inlineStr">
        <is>
          <t>Glen Delacruz</t>
        </is>
      </c>
      <c r="G386" s="5" t="n">
        <v>75400</v>
      </c>
      <c r="H386" s="5" t="n">
        <v>75400</v>
      </c>
      <c r="I386" s="5" t="n">
        <v>71354.11</v>
      </c>
      <c r="J386" s="5" t="n">
        <v>50299.34</v>
      </c>
      <c r="K386" s="5" t="n">
        <v>50299.34</v>
      </c>
      <c r="L386" s="5" t="n">
        <v>0</v>
      </c>
      <c r="M386" s="5" t="n">
        <v>90901.92</v>
      </c>
      <c r="N386" s="5" t="n">
        <v>-40602.58</v>
      </c>
      <c r="O386" s="5" t="n">
        <v>-40602.58</v>
      </c>
      <c r="P386" s="4" t="n"/>
      <c r="Q386" s="6" t="n">
        <v>1</v>
      </c>
      <c r="R386" s="6" t="n">
        <v>1.8072</v>
      </c>
    </row>
    <row r="387">
      <c r="A387" s="4" t="inlineStr">
        <is>
          <t>25-PC-37188</t>
        </is>
      </c>
      <c r="B387" s="4" t="inlineStr">
        <is>
          <t>On-Call: Lone Pine Airport Apron Cultural Resources Assessment</t>
        </is>
      </c>
      <c r="C387" s="4" t="inlineStr">
        <is>
          <t>In Progress</t>
        </is>
      </c>
      <c r="D387" s="4" t="inlineStr">
        <is>
          <t>Time and material</t>
        </is>
      </c>
      <c r="E387" s="4" t="inlineStr">
        <is>
          <t>Hill Country</t>
        </is>
      </c>
      <c r="F387" s="4" t="inlineStr">
        <is>
          <t>Suzanne Mcmillan</t>
        </is>
      </c>
      <c r="G387" s="5" t="n">
        <v>131600</v>
      </c>
      <c r="H387" s="5" t="n">
        <v>103670.5</v>
      </c>
      <c r="I387" s="5" t="n">
        <v>103670.5</v>
      </c>
      <c r="J387" s="5" t="n">
        <v>95554.75999999999</v>
      </c>
      <c r="K387" s="5" t="n">
        <v>95554.75999999999</v>
      </c>
      <c r="L387" s="5" t="n">
        <v>0</v>
      </c>
      <c r="M387" s="5" t="n">
        <v>53871.13</v>
      </c>
      <c r="N387" s="5" t="n">
        <v>41683.63</v>
      </c>
      <c r="O387" s="5" t="n">
        <v>41683.63</v>
      </c>
      <c r="P387" s="4" t="n"/>
      <c r="Q387" s="6" t="n">
        <v>0.788</v>
      </c>
      <c r="R387" s="6" t="n">
        <v>0.5638</v>
      </c>
    </row>
    <row r="388">
      <c r="A388" s="4" t="inlineStr">
        <is>
          <t>25-PC-37371</t>
        </is>
      </c>
      <c r="B388" s="4" t="inlineStr">
        <is>
          <t>Phase II: Ember Valley Water Main Class III Survey</t>
        </is>
      </c>
      <c r="C388" s="4" t="inlineStr">
        <is>
          <t>In Progress</t>
        </is>
      </c>
      <c r="D388" s="4" t="inlineStr">
        <is>
          <t>Fixed fee</t>
        </is>
      </c>
      <c r="E388" s="4" t="inlineStr">
        <is>
          <t>Piedmont</t>
        </is>
      </c>
      <c r="F388" s="4" t="inlineStr">
        <is>
          <t>Maria Parrish</t>
        </is>
      </c>
      <c r="G388" s="5" t="n">
        <v>292700</v>
      </c>
      <c r="H388" s="5" t="n">
        <v>126329.32</v>
      </c>
      <c r="I388" s="5" t="n">
        <v>120692.53</v>
      </c>
      <c r="J388" s="5" t="n">
        <v>199428.52</v>
      </c>
      <c r="K388" s="5" t="n">
        <v>154432.08</v>
      </c>
      <c r="L388" s="5" t="n">
        <v>44996.44</v>
      </c>
      <c r="M388" s="5" t="n">
        <v>86077.44</v>
      </c>
      <c r="N388" s="5" t="n">
        <v>113351.08</v>
      </c>
      <c r="O388" s="5" t="n">
        <v>68354.63999999998</v>
      </c>
      <c r="P388" s="4" t="n"/>
      <c r="Q388" s="6" t="n">
        <v>0.432</v>
      </c>
      <c r="R388" s="6" t="n">
        <v>0.4316</v>
      </c>
    </row>
    <row r="389">
      <c r="A389" s="4" t="inlineStr">
        <is>
          <t>25-PC-37392</t>
        </is>
      </c>
      <c r="B389" s="4" t="inlineStr">
        <is>
          <t>Eagle Bend Wind Farm - Phase I Survey</t>
        </is>
      </c>
      <c r="C389" s="4" t="inlineStr">
        <is>
          <t>In Progress</t>
        </is>
      </c>
      <c r="D389" s="4" t="inlineStr">
        <is>
          <t>Fixed fee</t>
        </is>
      </c>
      <c r="E389" s="4" t="inlineStr">
        <is>
          <t>Piedmont</t>
        </is>
      </c>
      <c r="F389" s="4" t="inlineStr">
        <is>
          <t>Maria Parrish</t>
        </is>
      </c>
      <c r="G389" s="5" t="n">
        <v>59200</v>
      </c>
      <c r="H389" s="5" t="n">
        <v>54913.92</v>
      </c>
      <c r="I389" s="5" t="n">
        <v>54913.92</v>
      </c>
      <c r="J389" s="5" t="n">
        <v>50698.88</v>
      </c>
      <c r="K389" s="5" t="n">
        <v>50698.88</v>
      </c>
      <c r="L389" s="5" t="n">
        <v>0</v>
      </c>
      <c r="M389" s="5" t="n">
        <v>47030.53</v>
      </c>
      <c r="N389" s="5" t="n">
        <v>3668.349999999999</v>
      </c>
      <c r="O389" s="5" t="n">
        <v>3668.349999999999</v>
      </c>
      <c r="P389" s="4" t="n"/>
      <c r="Q389" s="6" t="n">
        <v>0.928</v>
      </c>
      <c r="R389" s="6" t="n">
        <v>0.9276</v>
      </c>
    </row>
    <row r="390">
      <c r="A390" s="4" t="inlineStr">
        <is>
          <t>25-PC-37461</t>
        </is>
      </c>
      <c r="B390" s="4" t="inlineStr">
        <is>
          <t>On-Call: Dove Canyon Fiber Route Cultural Resources Monitoring</t>
        </is>
      </c>
      <c r="C390" s="4" t="inlineStr">
        <is>
          <t>Cost Tracking on Closed Project</t>
        </is>
      </c>
      <c r="D390" s="4" t="inlineStr">
        <is>
          <t>Time and material</t>
        </is>
      </c>
      <c r="E390" s="4" t="inlineStr">
        <is>
          <t>Piedmont</t>
        </is>
      </c>
      <c r="F390" s="4" t="inlineStr">
        <is>
          <t>Megan Pineda</t>
        </is>
      </c>
      <c r="G390" s="5" t="n">
        <v>83200</v>
      </c>
      <c r="H390" s="5" t="n">
        <v>22297.6</v>
      </c>
      <c r="I390" s="5" t="n">
        <v>22297.6</v>
      </c>
      <c r="J390" s="5" t="n">
        <v>60186.88</v>
      </c>
      <c r="K390" s="5" t="n">
        <v>60186.88</v>
      </c>
      <c r="L390" s="5" t="n">
        <v>0</v>
      </c>
      <c r="M390" s="5" t="n">
        <v>78242.94</v>
      </c>
      <c r="N390" s="5" t="n">
        <v>-18056.06</v>
      </c>
      <c r="O390" s="5" t="n">
        <v>-18056.06</v>
      </c>
      <c r="P390" s="4" t="n"/>
      <c r="Q390" s="6" t="n">
        <v>0.268</v>
      </c>
      <c r="R390" s="6" t="n">
        <v>1.3</v>
      </c>
    </row>
    <row r="391">
      <c r="A391" s="4" t="inlineStr">
        <is>
          <t>25-PC-37509</t>
        </is>
      </c>
      <c r="B391" s="4" t="inlineStr">
        <is>
          <t>On-Call: Wildrye Bridge Replacement Section 106 Consultation</t>
        </is>
      </c>
      <c r="C391" s="4" t="inlineStr">
        <is>
          <t>In Progress</t>
        </is>
      </c>
      <c r="D391" s="4" t="inlineStr">
        <is>
          <t>Time and material</t>
        </is>
      </c>
      <c r="E391" s="4" t="inlineStr">
        <is>
          <t>Piedmont</t>
        </is>
      </c>
      <c r="F391" s="4" t="inlineStr">
        <is>
          <t>Jody Chung</t>
        </is>
      </c>
      <c r="G391" s="5" t="n">
        <v>458200</v>
      </c>
      <c r="H391" s="5" t="n">
        <v>311576</v>
      </c>
      <c r="I391" s="5" t="n">
        <v>311576</v>
      </c>
      <c r="J391" s="5" t="n">
        <v>301449.78</v>
      </c>
      <c r="K391" s="5" t="n">
        <v>301449.78</v>
      </c>
      <c r="L391" s="5" t="n">
        <v>0</v>
      </c>
      <c r="M391" s="5" t="n">
        <v>240796.49</v>
      </c>
      <c r="N391" s="5" t="n">
        <v>60653.29000000004</v>
      </c>
      <c r="O391" s="5" t="n">
        <v>60653.29000000004</v>
      </c>
      <c r="P391" s="4" t="n"/>
      <c r="Q391" s="6" t="n">
        <v>0.68</v>
      </c>
      <c r="R391" s="6" t="n">
        <v>0.7988</v>
      </c>
    </row>
    <row r="392">
      <c r="A392" s="4" t="inlineStr">
        <is>
          <t>25-PC-37522</t>
        </is>
      </c>
      <c r="B392" s="4" t="inlineStr">
        <is>
          <t>Sparrow Hill Canal Lining Built Environment Survey</t>
        </is>
      </c>
      <c r="C392" s="4" t="inlineStr">
        <is>
          <t>Lab/Curation</t>
        </is>
      </c>
      <c r="D392" s="4" t="inlineStr">
        <is>
          <t>Fixed fee</t>
        </is>
      </c>
      <c r="E392" s="4" t="inlineStr">
        <is>
          <t>Piedmont</t>
        </is>
      </c>
      <c r="F392" s="4" t="inlineStr">
        <is>
          <t>Jody Chung</t>
        </is>
      </c>
      <c r="G392" s="5" t="n">
        <v>21500</v>
      </c>
      <c r="H392" s="5" t="n">
        <v>21500</v>
      </c>
      <c r="I392" s="5" t="n">
        <v>20397.5</v>
      </c>
      <c r="J392" s="5" t="n">
        <v>15617.6</v>
      </c>
      <c r="K392" s="5" t="n">
        <v>15617.6</v>
      </c>
      <c r="L392" s="5" t="n">
        <v>0</v>
      </c>
      <c r="M392" s="5" t="n">
        <v>19499.41</v>
      </c>
      <c r="N392" s="5" t="n">
        <v>-3881.809999999999</v>
      </c>
      <c r="O392" s="5" t="n">
        <v>-3881.809999999999</v>
      </c>
      <c r="P392" s="4" t="n"/>
      <c r="Q392" s="6" t="n">
        <v>1</v>
      </c>
      <c r="R392" s="6" t="n">
        <v>1.2486</v>
      </c>
    </row>
    <row r="393">
      <c r="A393" s="4" t="inlineStr">
        <is>
          <t>25-PC-37544</t>
        </is>
      </c>
      <c r="B393" s="4" t="inlineStr">
        <is>
          <t>Sparrow Hill Historic Resources Evaluation</t>
        </is>
      </c>
      <c r="C393" s="4" t="inlineStr">
        <is>
          <t>Final Reporting/Review</t>
        </is>
      </c>
      <c r="D393" s="4" t="inlineStr">
        <is>
          <t>Fixed fee</t>
        </is>
      </c>
      <c r="E393" s="4" t="inlineStr">
        <is>
          <t>Piedmont</t>
        </is>
      </c>
      <c r="F393" s="4" t="inlineStr">
        <is>
          <t>Maria Parrish</t>
        </is>
      </c>
      <c r="G393" s="5" t="n">
        <v>1009600</v>
      </c>
      <c r="H393" s="5" t="n">
        <v>789709.12</v>
      </c>
      <c r="I393" s="5" t="n">
        <v>789709.12</v>
      </c>
      <c r="J393" s="5" t="n">
        <v>644730.5600000001</v>
      </c>
      <c r="K393" s="5" t="n">
        <v>644730.5600000001</v>
      </c>
      <c r="L393" s="5" t="n">
        <v>0</v>
      </c>
      <c r="M393" s="5" t="n">
        <v>504318.97</v>
      </c>
      <c r="N393" s="5" t="n">
        <v>140411.5900000001</v>
      </c>
      <c r="O393" s="5" t="n">
        <v>140411.5900000001</v>
      </c>
      <c r="P393" s="4" t="n"/>
      <c r="Q393" s="6" t="n">
        <v>0.782</v>
      </c>
      <c r="R393" s="6" t="n">
        <v>0.7822</v>
      </c>
    </row>
    <row r="394">
      <c r="A394" s="4" t="inlineStr">
        <is>
          <t>25-PC-37732</t>
        </is>
      </c>
      <c r="B394" s="4" t="inlineStr">
        <is>
          <t>Hawk Point Housing Development Class III Survey</t>
        </is>
      </c>
      <c r="C394" s="4" t="inlineStr">
        <is>
          <t>In Progress</t>
        </is>
      </c>
      <c r="D394" s="4" t="inlineStr">
        <is>
          <t>Fixed fee</t>
        </is>
      </c>
      <c r="E394" s="4" t="inlineStr">
        <is>
          <t>Piedmont</t>
        </is>
      </c>
      <c r="F394" s="4" t="inlineStr">
        <is>
          <t>Megan Pineda</t>
        </is>
      </c>
      <c r="G394" s="5" t="n">
        <v>72900</v>
      </c>
      <c r="H394" s="5" t="n">
        <v>64100.97</v>
      </c>
      <c r="I394" s="5" t="n">
        <v>59413.97</v>
      </c>
      <c r="J394" s="5" t="n">
        <v>45824.94</v>
      </c>
      <c r="K394" s="5" t="n">
        <v>45824.94</v>
      </c>
      <c r="L394" s="5" t="n">
        <v>0</v>
      </c>
      <c r="M394" s="5" t="n">
        <v>40294.47</v>
      </c>
      <c r="N394" s="5" t="n">
        <v>5530.470000000001</v>
      </c>
      <c r="O394" s="5" t="n">
        <v>5530.470000000001</v>
      </c>
      <c r="P394" s="4" t="n"/>
      <c r="Q394" s="6" t="n">
        <v>0.879</v>
      </c>
      <c r="R394" s="6" t="n">
        <v>0.8793</v>
      </c>
    </row>
    <row r="395">
      <c r="A395" s="4" t="inlineStr">
        <is>
          <t>25-PC-37786</t>
        </is>
      </c>
      <c r="B395" s="4" t="inlineStr">
        <is>
          <t>Fern Valley Wastewater Plant Paleontological Monitoring</t>
        </is>
      </c>
      <c r="C395" s="4" t="inlineStr">
        <is>
          <t>Final Reporting/Review</t>
        </is>
      </c>
      <c r="D395" s="4" t="inlineStr">
        <is>
          <t>Time and material</t>
        </is>
      </c>
      <c r="E395" s="4" t="inlineStr">
        <is>
          <t>Piedmont</t>
        </is>
      </c>
      <c r="F395" s="4" t="inlineStr">
        <is>
          <t>Maria Parrish</t>
        </is>
      </c>
      <c r="G395" s="5" t="n">
        <v>72200</v>
      </c>
      <c r="H395" s="5" t="n">
        <v>69466.7</v>
      </c>
      <c r="I395" s="5" t="n">
        <v>69466.7</v>
      </c>
      <c r="J395" s="5" t="n">
        <v>44893.96</v>
      </c>
      <c r="K395" s="5" t="n">
        <v>44893.96</v>
      </c>
      <c r="L395" s="5" t="n">
        <v>0</v>
      </c>
      <c r="M395" s="5" t="n">
        <v>57390.52</v>
      </c>
      <c r="N395" s="5" t="n">
        <v>-12496.56</v>
      </c>
      <c r="O395" s="5" t="n">
        <v>-12496.56</v>
      </c>
      <c r="P395" s="4" t="n"/>
      <c r="Q395" s="6" t="n">
        <v>0.962</v>
      </c>
      <c r="R395" s="6" t="n">
        <v>1.2784</v>
      </c>
    </row>
    <row r="396">
      <c r="A396" s="4" t="inlineStr">
        <is>
          <t>25-PC-37881</t>
        </is>
      </c>
      <c r="B396" s="4" t="inlineStr">
        <is>
          <t>Phase II: Heron Marsh Mine Expansion Historic Resources Evaluation</t>
        </is>
      </c>
      <c r="C396" s="4" t="inlineStr">
        <is>
          <t>In Progress</t>
        </is>
      </c>
      <c r="D396" s="4" t="inlineStr">
        <is>
          <t>Fixed fee</t>
        </is>
      </c>
      <c r="E396" s="4" t="inlineStr">
        <is>
          <t>Piedmont</t>
        </is>
      </c>
      <c r="F396" s="4" t="inlineStr">
        <is>
          <t>Megan Pineda</t>
        </is>
      </c>
      <c r="G396" s="5" t="n">
        <v>7900</v>
      </c>
      <c r="H396" s="5" t="n">
        <v>7900</v>
      </c>
      <c r="I396" s="5" t="n">
        <v>7900</v>
      </c>
      <c r="J396" s="5" t="n">
        <v>6020.59</v>
      </c>
      <c r="K396" s="5" t="n">
        <v>6020.59</v>
      </c>
      <c r="L396" s="5" t="n">
        <v>0</v>
      </c>
      <c r="M396" s="5" t="n">
        <v>6629.3</v>
      </c>
      <c r="N396" s="5" t="n">
        <v>-608.71</v>
      </c>
      <c r="O396" s="5" t="n">
        <v>-608.71</v>
      </c>
      <c r="P396" s="4" t="n"/>
      <c r="Q396" s="6" t="n">
        <v>1</v>
      </c>
      <c r="R396" s="6" t="n">
        <v>1.1011</v>
      </c>
    </row>
    <row r="397">
      <c r="A397" s="4" t="inlineStr">
        <is>
          <t>25-PC-37920</t>
        </is>
      </c>
      <c r="B397" s="4" t="inlineStr">
        <is>
          <t>Heron Marsh Mine Expansion Class III Survey</t>
        </is>
      </c>
      <c r="C397" s="4" t="inlineStr">
        <is>
          <t>In Progress</t>
        </is>
      </c>
      <c r="D397" s="4" t="inlineStr">
        <is>
          <t>Time and material</t>
        </is>
      </c>
      <c r="E397" s="4" t="inlineStr">
        <is>
          <t>Piedmont</t>
        </is>
      </c>
      <c r="F397" s="4" t="inlineStr">
        <is>
          <t>Maria Parrish</t>
        </is>
      </c>
      <c r="G397" s="5" t="n">
        <v>138600</v>
      </c>
      <c r="H397" s="5" t="n">
        <v>69844.2</v>
      </c>
      <c r="I397" s="5" t="n">
        <v>64957.08</v>
      </c>
      <c r="J397" s="5" t="n">
        <v>92806.56</v>
      </c>
      <c r="K397" s="5" t="n">
        <v>92806.56</v>
      </c>
      <c r="L397" s="5" t="n">
        <v>0</v>
      </c>
      <c r="M397" s="5" t="n">
        <v>44711.28</v>
      </c>
      <c r="N397" s="5" t="n">
        <v>48095.28</v>
      </c>
      <c r="O397" s="5" t="n">
        <v>48095.28</v>
      </c>
      <c r="P397" s="4" t="n"/>
      <c r="Q397" s="6" t="n">
        <v>0.504</v>
      </c>
      <c r="R397" s="6" t="n">
        <v>0.4818</v>
      </c>
    </row>
    <row r="398">
      <c r="A398" s="4" t="inlineStr">
        <is>
          <t>25-PC-37975</t>
        </is>
      </c>
      <c r="B398" s="4" t="inlineStr">
        <is>
          <t>Hackberry Bend Battery Storage Environmental Review Support</t>
        </is>
      </c>
      <c r="C398" s="4" t="inlineStr">
        <is>
          <t>In Progress</t>
        </is>
      </c>
      <c r="D398" s="4" t="inlineStr">
        <is>
          <t>Fixed fee</t>
        </is>
      </c>
      <c r="E398" s="4" t="inlineStr">
        <is>
          <t>Prairie</t>
        </is>
      </c>
      <c r="F398" s="4" t="inlineStr">
        <is>
          <t>Sherry Lloyd</t>
        </is>
      </c>
      <c r="G398" s="5" t="n">
        <v>148100</v>
      </c>
      <c r="H398" s="5" t="n">
        <v>109890.2</v>
      </c>
      <c r="I398" s="5" t="n">
        <v>107447.04</v>
      </c>
      <c r="J398" s="5" t="n">
        <v>106809.72</v>
      </c>
      <c r="K398" s="5" t="n">
        <v>106809.72</v>
      </c>
      <c r="L398" s="5" t="n">
        <v>0</v>
      </c>
      <c r="M398" s="5" t="n">
        <v>79254.52</v>
      </c>
      <c r="N398" s="5" t="n">
        <v>27555.2</v>
      </c>
      <c r="O398" s="5" t="n">
        <v>27555.2</v>
      </c>
      <c r="P398" s="4" t="n"/>
      <c r="Q398" s="6" t="n">
        <v>0.742</v>
      </c>
      <c r="R398" s="6" t="n">
        <v>0.742</v>
      </c>
    </row>
    <row r="399">
      <c r="A399" s="4" t="inlineStr">
        <is>
          <t>25-PC-38006</t>
        </is>
      </c>
      <c r="B399" s="4" t="inlineStr">
        <is>
          <t>Timber Gap Wastewater Plant Archaeological Testing</t>
        </is>
      </c>
      <c r="C399" s="4" t="inlineStr">
        <is>
          <t>In Progress</t>
        </is>
      </c>
      <c r="D399" s="4" t="inlineStr">
        <is>
          <t>Time and material</t>
        </is>
      </c>
      <c r="E399" s="4" t="inlineStr">
        <is>
          <t>Prairie</t>
        </is>
      </c>
      <c r="F399" s="4" t="inlineStr">
        <is>
          <t>Sherry Lloyd</t>
        </is>
      </c>
      <c r="G399" s="5" t="n">
        <v>112000</v>
      </c>
      <c r="H399" s="5" t="n">
        <v>46616.5</v>
      </c>
      <c r="I399" s="5" t="n">
        <v>46616.5</v>
      </c>
      <c r="J399" s="5" t="n">
        <v>75667.2</v>
      </c>
      <c r="K399" s="5" t="n">
        <v>75667.2</v>
      </c>
      <c r="L399" s="5" t="n">
        <v>0</v>
      </c>
      <c r="M399" s="5" t="n">
        <v>36469.16</v>
      </c>
      <c r="N399" s="5" t="n">
        <v>39198.03999999999</v>
      </c>
      <c r="O399" s="5" t="n">
        <v>39198.03999999999</v>
      </c>
      <c r="P399" s="4" t="n"/>
      <c r="Q399" s="6" t="n">
        <v>0.416</v>
      </c>
      <c r="R399" s="6" t="n">
        <v>0.482</v>
      </c>
    </row>
    <row r="400">
      <c r="A400" s="4" t="inlineStr">
        <is>
          <t>25-PC-38042</t>
        </is>
      </c>
      <c r="B400" s="4" t="inlineStr">
        <is>
          <t>Oak Terrace School Campus GIS Mapping</t>
        </is>
      </c>
      <c r="C400" s="4" t="inlineStr">
        <is>
          <t>In Progress</t>
        </is>
      </c>
      <c r="D400" s="4" t="inlineStr">
        <is>
          <t>Fixed fee</t>
        </is>
      </c>
      <c r="E400" s="4" t="inlineStr">
        <is>
          <t>Prairie</t>
        </is>
      </c>
      <c r="F400" s="4" t="inlineStr">
        <is>
          <t>Sherry Lloyd</t>
        </is>
      </c>
      <c r="G400" s="5" t="n">
        <v>24300</v>
      </c>
      <c r="H400" s="5" t="n">
        <v>20144.7</v>
      </c>
      <c r="I400" s="5" t="n">
        <v>20144.7</v>
      </c>
      <c r="J400" s="5" t="n">
        <v>19082.79</v>
      </c>
      <c r="K400" s="5" t="n">
        <v>19082.79</v>
      </c>
      <c r="L400" s="5" t="n">
        <v>0</v>
      </c>
      <c r="M400" s="5" t="n">
        <v>15820.03</v>
      </c>
      <c r="N400" s="5" t="n">
        <v>3262.76</v>
      </c>
      <c r="O400" s="5" t="n">
        <v>3262.76</v>
      </c>
      <c r="P400" s="4" t="n"/>
      <c r="Q400" s="6" t="n">
        <v>0.829</v>
      </c>
      <c r="R400" s="6" t="n">
        <v>0.829</v>
      </c>
    </row>
    <row r="401">
      <c r="A401" s="4" t="inlineStr">
        <is>
          <t>25-PC-38070</t>
        </is>
      </c>
      <c r="B401" s="4" t="inlineStr">
        <is>
          <t>Phase III: Willow Springs Wastewater Plant Historic Resources Evaluation</t>
        </is>
      </c>
      <c r="C401" s="4" t="inlineStr">
        <is>
          <t>In Progress</t>
        </is>
      </c>
      <c r="D401" s="4" t="inlineStr">
        <is>
          <t>Fixed fee</t>
        </is>
      </c>
      <c r="E401" s="4" t="inlineStr">
        <is>
          <t>Prairie</t>
        </is>
      </c>
      <c r="F401" s="4" t="inlineStr">
        <is>
          <t>Sherry Lloyd</t>
        </is>
      </c>
      <c r="G401" s="5" t="n">
        <v>132800</v>
      </c>
      <c r="H401" s="5" t="n">
        <v>82601.60000000001</v>
      </c>
      <c r="I401" s="5" t="n">
        <v>82601.60000000001</v>
      </c>
      <c r="J401" s="5" t="n">
        <v>116864</v>
      </c>
      <c r="K401" s="5" t="n">
        <v>116864</v>
      </c>
      <c r="L401" s="5" t="n">
        <v>0</v>
      </c>
      <c r="M401" s="5" t="n">
        <v>72689.82000000001</v>
      </c>
      <c r="N401" s="5" t="n">
        <v>44174.17999999999</v>
      </c>
      <c r="O401" s="5" t="n">
        <v>44174.17999999999</v>
      </c>
      <c r="P401" s="4" t="n"/>
      <c r="Q401" s="6" t="n">
        <v>0.622</v>
      </c>
      <c r="R401" s="6" t="n">
        <v>0.622</v>
      </c>
    </row>
    <row r="402">
      <c r="A402" s="4" t="inlineStr">
        <is>
          <t>25-PC-38107</t>
        </is>
      </c>
      <c r="B402" s="4" t="inlineStr">
        <is>
          <t>Task Order 13: Pebble Beach Road Substation Cultural Resources Monitoring</t>
        </is>
      </c>
      <c r="C402" s="4" t="inlineStr">
        <is>
          <t>In Progress</t>
        </is>
      </c>
      <c r="D402" s="4" t="inlineStr">
        <is>
          <t>Fixed fee</t>
        </is>
      </c>
      <c r="E402" s="4" t="inlineStr">
        <is>
          <t>Prairie</t>
        </is>
      </c>
      <c r="F402" s="4" t="inlineStr">
        <is>
          <t>Sherry Lloyd</t>
        </is>
      </c>
      <c r="G402" s="5" t="n">
        <v>234600</v>
      </c>
      <c r="H402" s="5" t="n">
        <v>77957.58</v>
      </c>
      <c r="I402" s="5" t="n">
        <v>71933.85000000001</v>
      </c>
      <c r="J402" s="5" t="n">
        <v>208913.08</v>
      </c>
      <c r="K402" s="5" t="n">
        <v>154792</v>
      </c>
      <c r="L402" s="5" t="n">
        <v>54121.08</v>
      </c>
      <c r="M402" s="5" t="n">
        <v>69422.07000000001</v>
      </c>
      <c r="N402" s="5" t="n">
        <v>139491.01</v>
      </c>
      <c r="O402" s="5" t="n">
        <v>85369.92999999999</v>
      </c>
      <c r="P402" s="4" t="n"/>
      <c r="Q402" s="6" t="n">
        <v>0.332</v>
      </c>
      <c r="R402" s="6" t="n">
        <v>0.3323</v>
      </c>
    </row>
    <row r="403">
      <c r="A403" s="4" t="inlineStr">
        <is>
          <t>25-PC-38180</t>
        </is>
      </c>
      <c r="B403" s="4" t="inlineStr">
        <is>
          <t>Task Order 22: Willow Springs Bridge Replacement Data Recovery</t>
        </is>
      </c>
      <c r="C403" s="4" t="inlineStr">
        <is>
          <t>In Progress</t>
        </is>
      </c>
      <c r="D403" s="4" t="inlineStr">
        <is>
          <t>Fixed fee</t>
        </is>
      </c>
      <c r="E403" s="4" t="inlineStr">
        <is>
          <t>Prairie</t>
        </is>
      </c>
      <c r="F403" s="4" t="inlineStr">
        <is>
          <t>Sherry Lloyd</t>
        </is>
      </c>
      <c r="G403" s="5" t="n">
        <v>25300</v>
      </c>
      <c r="H403" s="5" t="n">
        <v>20781.42</v>
      </c>
      <c r="I403" s="5" t="n">
        <v>19246.71</v>
      </c>
      <c r="J403" s="5" t="n">
        <v>16961.12</v>
      </c>
      <c r="K403" s="5" t="n">
        <v>16961.12</v>
      </c>
      <c r="L403" s="5" t="n">
        <v>0</v>
      </c>
      <c r="M403" s="5" t="n">
        <v>13931.44</v>
      </c>
      <c r="N403" s="5" t="n">
        <v>3029.679999999998</v>
      </c>
      <c r="O403" s="5" t="n">
        <v>3029.679999999998</v>
      </c>
      <c r="P403" s="4" t="n"/>
      <c r="Q403" s="6" t="n">
        <v>0.821</v>
      </c>
      <c r="R403" s="6" t="n">
        <v>0.8214</v>
      </c>
    </row>
    <row r="404">
      <c r="A404" s="4" t="inlineStr">
        <is>
          <t>25-PC-38196</t>
        </is>
      </c>
      <c r="B404" s="4" t="inlineStr">
        <is>
          <t>Sea Oat Cell Tower Built Environment Survey</t>
        </is>
      </c>
      <c r="C404" s="4" t="inlineStr">
        <is>
          <t>In Progress</t>
        </is>
      </c>
      <c r="D404" s="4" t="inlineStr">
        <is>
          <t>Fixed fee</t>
        </is>
      </c>
      <c r="E404" s="4" t="inlineStr">
        <is>
          <t>Prairie</t>
        </is>
      </c>
      <c r="F404" s="4" t="inlineStr">
        <is>
          <t>Sherry Lloyd</t>
        </is>
      </c>
      <c r="G404" s="5" t="n">
        <v>1160700</v>
      </c>
      <c r="H404" s="5" t="n">
        <v>688295.1</v>
      </c>
      <c r="I404" s="5" t="n">
        <v>688295.1</v>
      </c>
      <c r="J404" s="5" t="n">
        <v>717428.67</v>
      </c>
      <c r="K404" s="5" t="n">
        <v>717428.67</v>
      </c>
      <c r="L404" s="5" t="n">
        <v>0</v>
      </c>
      <c r="M404" s="5" t="n">
        <v>425399.95</v>
      </c>
      <c r="N404" s="5" t="n">
        <v>292028.72</v>
      </c>
      <c r="O404" s="5" t="n">
        <v>292028.72</v>
      </c>
      <c r="P404" s="4" t="n"/>
      <c r="Q404" s="6" t="n">
        <v>0.593</v>
      </c>
      <c r="R404" s="6" t="n">
        <v>0.593</v>
      </c>
    </row>
    <row r="405">
      <c r="A405" s="4" t="inlineStr">
        <is>
          <t>25-PC-38282</t>
        </is>
      </c>
      <c r="B405" s="4" t="inlineStr">
        <is>
          <t>Task Order 16: Fern Valley Reservoir Architectural History Survey</t>
        </is>
      </c>
      <c r="C405" s="4" t="inlineStr">
        <is>
          <t>In Progress</t>
        </is>
      </c>
      <c r="D405" s="4" t="inlineStr">
        <is>
          <t>Time and material</t>
        </is>
      </c>
      <c r="E405" s="4" t="inlineStr">
        <is>
          <t>Prairie</t>
        </is>
      </c>
      <c r="F405" s="4" t="inlineStr">
        <is>
          <t>Sherry Lloyd</t>
        </is>
      </c>
      <c r="G405" s="5" t="n">
        <v>1334100</v>
      </c>
      <c r="H405" s="5" t="n">
        <v>672386.4</v>
      </c>
      <c r="I405" s="5" t="n">
        <v>672386.4</v>
      </c>
      <c r="J405" s="5" t="n">
        <v>876348.58</v>
      </c>
      <c r="K405" s="5" t="n">
        <v>703000.66</v>
      </c>
      <c r="L405" s="5" t="n">
        <v>173347.92</v>
      </c>
      <c r="M405" s="5" t="n">
        <v>522008.11</v>
      </c>
      <c r="N405" s="5" t="n">
        <v>354340.47</v>
      </c>
      <c r="O405" s="5" t="n">
        <v>180992.55</v>
      </c>
      <c r="P405" s="4" t="n"/>
      <c r="Q405" s="6" t="n">
        <v>0.504</v>
      </c>
      <c r="R405" s="6" t="n">
        <v>0.5957</v>
      </c>
    </row>
    <row r="406">
      <c r="A406" s="4" t="inlineStr">
        <is>
          <t>25-PC-38296</t>
        </is>
      </c>
      <c r="B406" s="4" t="inlineStr">
        <is>
          <t>Ember Valley Pipeline - GIS Mapping</t>
        </is>
      </c>
      <c r="C406" s="4" t="inlineStr">
        <is>
          <t>In Progress</t>
        </is>
      </c>
      <c r="D406" s="4" t="inlineStr">
        <is>
          <t>Fixed fee</t>
        </is>
      </c>
      <c r="E406" s="4" t="inlineStr">
        <is>
          <t>Prairie</t>
        </is>
      </c>
      <c r="F406" s="4" t="inlineStr">
        <is>
          <t>Sherry Lloyd</t>
        </is>
      </c>
      <c r="G406" s="5" t="n">
        <v>173000</v>
      </c>
      <c r="H406" s="5" t="n">
        <v>83922.3</v>
      </c>
      <c r="I406" s="5" t="n">
        <v>73131.64999999999</v>
      </c>
      <c r="J406" s="5" t="n">
        <v>111169.8</v>
      </c>
      <c r="K406" s="5" t="n">
        <v>111169.8</v>
      </c>
      <c r="L406" s="5" t="n">
        <v>0</v>
      </c>
      <c r="M406" s="5" t="n">
        <v>53923.32</v>
      </c>
      <c r="N406" s="5" t="n">
        <v>57246.48</v>
      </c>
      <c r="O406" s="5" t="n">
        <v>57246.48</v>
      </c>
      <c r="P406" s="4" t="n"/>
      <c r="Q406" s="6" t="n">
        <v>0.485</v>
      </c>
      <c r="R406" s="6" t="n">
        <v>0.4851</v>
      </c>
    </row>
    <row r="407">
      <c r="A407" s="4" t="inlineStr">
        <is>
          <t>25-PC-38332</t>
        </is>
      </c>
      <c r="B407" s="4" t="inlineStr">
        <is>
          <t>Redbud GIS Mapping</t>
        </is>
      </c>
      <c r="C407" s="4" t="inlineStr">
        <is>
          <t>In Progress</t>
        </is>
      </c>
      <c r="D407" s="4" t="inlineStr">
        <is>
          <t>Fixed fee</t>
        </is>
      </c>
      <c r="E407" s="4" t="inlineStr">
        <is>
          <t>Prairie</t>
        </is>
      </c>
      <c r="F407" s="4" t="inlineStr">
        <is>
          <t>Sherry Lloyd</t>
        </is>
      </c>
      <c r="G407" s="5" t="n">
        <v>899800</v>
      </c>
      <c r="H407" s="5" t="n">
        <v>706522.96</v>
      </c>
      <c r="I407" s="5" t="n">
        <v>706522.96</v>
      </c>
      <c r="J407" s="5" t="n">
        <v>754394.62</v>
      </c>
      <c r="K407" s="5" t="n">
        <v>682213.35</v>
      </c>
      <c r="L407" s="5" t="n">
        <v>72181.27</v>
      </c>
      <c r="M407" s="5" t="n">
        <v>592323.1899999999</v>
      </c>
      <c r="N407" s="5" t="n">
        <v>162071.4300000001</v>
      </c>
      <c r="O407" s="5" t="n">
        <v>89890.16000000003</v>
      </c>
      <c r="P407" s="4" t="n"/>
      <c r="Q407" s="6" t="n">
        <v>0.785</v>
      </c>
      <c r="R407" s="6" t="n">
        <v>0.7852</v>
      </c>
    </row>
    <row r="408">
      <c r="A408" s="4" t="inlineStr">
        <is>
          <t>25-PC-38333</t>
        </is>
      </c>
      <c r="B408" s="4" t="inlineStr">
        <is>
          <t>Pine Hollow Cell Tower Phase II Testing</t>
        </is>
      </c>
      <c r="C408" s="4" t="inlineStr">
        <is>
          <t>In Progress</t>
        </is>
      </c>
      <c r="D408" s="4" t="inlineStr">
        <is>
          <t>Fixed fee</t>
        </is>
      </c>
      <c r="E408" s="4" t="inlineStr">
        <is>
          <t>Prairie</t>
        </is>
      </c>
      <c r="F408" s="4" t="inlineStr">
        <is>
          <t>Sherry Lloyd</t>
        </is>
      </c>
      <c r="G408" s="5" t="n">
        <v>78300</v>
      </c>
      <c r="H408" s="5" t="n">
        <v>56861.46</v>
      </c>
      <c r="I408" s="5" t="n">
        <v>56861.46</v>
      </c>
      <c r="J408" s="5" t="n">
        <v>51450.4</v>
      </c>
      <c r="K408" s="5" t="n">
        <v>46958.73</v>
      </c>
      <c r="L408" s="5" t="n">
        <v>4491.67</v>
      </c>
      <c r="M408" s="5" t="n">
        <v>37360.87</v>
      </c>
      <c r="N408" s="5" t="n">
        <v>14089.53</v>
      </c>
      <c r="O408" s="5" t="n">
        <v>9597.860000000001</v>
      </c>
      <c r="P408" s="4" t="n"/>
      <c r="Q408" s="6" t="n">
        <v>0.726</v>
      </c>
      <c r="R408" s="6" t="n">
        <v>0.7262</v>
      </c>
    </row>
    <row r="409">
      <c r="A409" s="4" t="inlineStr">
        <is>
          <t>25-PC-38352</t>
        </is>
      </c>
      <c r="B409" s="4" t="inlineStr">
        <is>
          <t>Phase III: Willow Springs Mine Expansion Cultural Resources Monitoring</t>
        </is>
      </c>
      <c r="C409" s="4" t="inlineStr">
        <is>
          <t>In Progress</t>
        </is>
      </c>
      <c r="D409" s="4" t="inlineStr">
        <is>
          <t>Fixed fee</t>
        </is>
      </c>
      <c r="E409" s="4" t="inlineStr">
        <is>
          <t>Prairie</t>
        </is>
      </c>
      <c r="F409" s="4" t="inlineStr">
        <is>
          <t>Sherry Lloyd</t>
        </is>
      </c>
      <c r="G409" s="5" t="n">
        <v>136400</v>
      </c>
      <c r="H409" s="5" t="n">
        <v>99080.96000000001</v>
      </c>
      <c r="I409" s="5" t="n">
        <v>99080.96000000001</v>
      </c>
      <c r="J409" s="5" t="n">
        <v>86736.75999999999</v>
      </c>
      <c r="K409" s="5" t="n">
        <v>86736.75999999999</v>
      </c>
      <c r="L409" s="5" t="n">
        <v>0</v>
      </c>
      <c r="M409" s="5" t="n">
        <v>63001.3</v>
      </c>
      <c r="N409" s="5" t="n">
        <v>23735.45999999999</v>
      </c>
      <c r="O409" s="5" t="n">
        <v>23735.45999999999</v>
      </c>
      <c r="P409" s="4" t="n"/>
      <c r="Q409" s="6" t="n">
        <v>0.726</v>
      </c>
      <c r="R409" s="6" t="n">
        <v>0.7264</v>
      </c>
    </row>
    <row r="410">
      <c r="A410" s="4" t="inlineStr">
        <is>
          <t>25-PC-38540</t>
        </is>
      </c>
      <c r="B410" s="4" t="inlineStr">
        <is>
          <t>Ember Valley Park Improvements - Class III Survey</t>
        </is>
      </c>
      <c r="C410" s="4" t="inlineStr">
        <is>
          <t>In Progress</t>
        </is>
      </c>
      <c r="D410" s="4" t="inlineStr">
        <is>
          <t>Time and material</t>
        </is>
      </c>
      <c r="E410" s="4" t="inlineStr">
        <is>
          <t>Red Rock</t>
        </is>
      </c>
      <c r="F410" s="4" t="inlineStr">
        <is>
          <t>Jeanette Chung</t>
        </is>
      </c>
      <c r="G410" s="5" t="n">
        <v>496400</v>
      </c>
      <c r="H410" s="5" t="n">
        <v>481730.55</v>
      </c>
      <c r="I410" s="5" t="n">
        <v>460087.32</v>
      </c>
      <c r="J410" s="5" t="n">
        <v>357705.84</v>
      </c>
      <c r="K410" s="5" t="n">
        <v>357705.84</v>
      </c>
      <c r="L410" s="5" t="n">
        <v>0</v>
      </c>
      <c r="M410" s="5" t="n">
        <v>311579.9</v>
      </c>
      <c r="N410" s="5" t="n">
        <v>46125.94</v>
      </c>
      <c r="O410" s="5" t="n">
        <v>46125.94</v>
      </c>
      <c r="P410" s="4" t="n"/>
      <c r="Q410" s="6" t="n">
        <v>0.97</v>
      </c>
      <c r="R410" s="6" t="n">
        <v>0.8711</v>
      </c>
    </row>
    <row r="411">
      <c r="A411" s="4" t="inlineStr">
        <is>
          <t>25-PC-38563</t>
        </is>
      </c>
      <c r="B411" s="4" t="inlineStr">
        <is>
          <t>Elk Meadow Highway Widening - Architectural History Survey</t>
        </is>
      </c>
      <c r="C411" s="4" t="inlineStr">
        <is>
          <t>In Progress</t>
        </is>
      </c>
      <c r="D411" s="4" t="inlineStr">
        <is>
          <t>Fixed fee</t>
        </is>
      </c>
      <c r="E411" s="4" t="inlineStr">
        <is>
          <t>Red Rock</t>
        </is>
      </c>
      <c r="F411" s="4" t="inlineStr">
        <is>
          <t>Lydia Cisneros</t>
        </is>
      </c>
      <c r="G411" s="5" t="n">
        <v>176400</v>
      </c>
      <c r="H411" s="5" t="n">
        <v>154297.08</v>
      </c>
      <c r="I411" s="5" t="n">
        <v>154297.08</v>
      </c>
      <c r="J411" s="5" t="n">
        <v>137697.84</v>
      </c>
      <c r="K411" s="5" t="n">
        <v>137697.84</v>
      </c>
      <c r="L411" s="5" t="n">
        <v>0</v>
      </c>
      <c r="M411" s="5" t="n">
        <v>120438.25</v>
      </c>
      <c r="N411" s="5" t="n">
        <v>17259.59</v>
      </c>
      <c r="O411" s="5" t="n">
        <v>17259.59</v>
      </c>
      <c r="P411" s="4" t="n"/>
      <c r="Q411" s="6" t="n">
        <v>0.875</v>
      </c>
      <c r="R411" s="6" t="n">
        <v>0.8747</v>
      </c>
    </row>
    <row r="412">
      <c r="A412" s="4" t="inlineStr">
        <is>
          <t>25-PC-38596</t>
        </is>
      </c>
      <c r="B412" s="4" t="inlineStr">
        <is>
          <t>Tansy Flat Pipeline Data Recovery</t>
        </is>
      </c>
      <c r="C412" s="4" t="inlineStr">
        <is>
          <t>In Progress</t>
        </is>
      </c>
      <c r="D412" s="4" t="inlineStr">
        <is>
          <t>Fixed fee</t>
        </is>
      </c>
      <c r="E412" s="4" t="inlineStr">
        <is>
          <t>Red Rock</t>
        </is>
      </c>
      <c r="F412" s="4" t="inlineStr">
        <is>
          <t>Bruce Suarez</t>
        </is>
      </c>
      <c r="G412" s="5" t="n">
        <v>178000</v>
      </c>
      <c r="H412" s="5" t="n">
        <v>91848</v>
      </c>
      <c r="I412" s="5" t="n">
        <v>91848</v>
      </c>
      <c r="J412" s="5" t="n">
        <v>148416.4</v>
      </c>
      <c r="K412" s="5" t="n">
        <v>148416.4</v>
      </c>
      <c r="L412" s="5" t="n">
        <v>0</v>
      </c>
      <c r="M412" s="5" t="n">
        <v>76585.73</v>
      </c>
      <c r="N412" s="5" t="n">
        <v>71830.67</v>
      </c>
      <c r="O412" s="5" t="n">
        <v>71830.67</v>
      </c>
      <c r="P412" s="4" t="n"/>
      <c r="Q412" s="6" t="n">
        <v>0.516</v>
      </c>
      <c r="R412" s="6" t="n">
        <v>0.516</v>
      </c>
    </row>
    <row r="413">
      <c r="A413" s="4" t="inlineStr">
        <is>
          <t>25-PC-38606</t>
        </is>
      </c>
      <c r="B413" s="4" t="inlineStr">
        <is>
          <t>Silver Lake School Campus - Maritime Remote Sensing Survey</t>
        </is>
      </c>
      <c r="C413" s="4" t="inlineStr">
        <is>
          <t>In Progress</t>
        </is>
      </c>
      <c r="D413" s="4" t="inlineStr">
        <is>
          <t>Fixed fee</t>
        </is>
      </c>
      <c r="E413" s="4" t="inlineStr">
        <is>
          <t>Red Rock</t>
        </is>
      </c>
      <c r="F413" s="4" t="inlineStr">
        <is>
          <t>Jeanette Chung</t>
        </is>
      </c>
      <c r="G413" s="5" t="n">
        <v>34800</v>
      </c>
      <c r="H413" s="5" t="n">
        <v>20358</v>
      </c>
      <c r="I413" s="5" t="n">
        <v>20358</v>
      </c>
      <c r="J413" s="5" t="n">
        <v>26816.2</v>
      </c>
      <c r="K413" s="5" t="n">
        <v>23301.12</v>
      </c>
      <c r="L413" s="5" t="n">
        <v>3515.08</v>
      </c>
      <c r="M413" s="5" t="n">
        <v>15688.36</v>
      </c>
      <c r="N413" s="5" t="n">
        <v>11127.84</v>
      </c>
      <c r="O413" s="5" t="n">
        <v>7612.759999999998</v>
      </c>
      <c r="P413" s="4" t="n"/>
      <c r="Q413" s="6" t="n">
        <v>0.585</v>
      </c>
      <c r="R413" s="6" t="n">
        <v>0.585</v>
      </c>
    </row>
    <row r="414">
      <c r="A414" s="4" t="inlineStr">
        <is>
          <t>25-PC-38701</t>
        </is>
      </c>
      <c r="B414" s="4" t="inlineStr">
        <is>
          <t>Slate Ridge Curation</t>
        </is>
      </c>
      <c r="C414" s="4" t="inlineStr">
        <is>
          <t>In Progress</t>
        </is>
      </c>
      <c r="D414" s="4" t="inlineStr">
        <is>
          <t>Time and material</t>
        </is>
      </c>
      <c r="E414" s="4" t="inlineStr">
        <is>
          <t>Red Rock</t>
        </is>
      </c>
      <c r="F414" s="4" t="inlineStr">
        <is>
          <t>Javier Newman</t>
        </is>
      </c>
      <c r="G414" s="5" t="n">
        <v>156400</v>
      </c>
      <c r="H414" s="5" t="n">
        <v>109600.75</v>
      </c>
      <c r="I414" s="5" t="n">
        <v>102197.06</v>
      </c>
      <c r="J414" s="5" t="n">
        <v>98735.32000000001</v>
      </c>
      <c r="K414" s="5" t="n">
        <v>98735.32000000001</v>
      </c>
      <c r="L414" s="5" t="n">
        <v>0</v>
      </c>
      <c r="M414" s="5" t="n">
        <v>71024.19</v>
      </c>
      <c r="N414" s="5" t="n">
        <v>27711.13</v>
      </c>
      <c r="O414" s="5" t="n">
        <v>27711.13</v>
      </c>
      <c r="P414" s="4" t="n"/>
      <c r="Q414" s="6" t="n">
        <v>0.701</v>
      </c>
      <c r="R414" s="6" t="n">
        <v>0.7193000000000001</v>
      </c>
    </row>
    <row r="415">
      <c r="A415" s="4" t="inlineStr">
        <is>
          <t>25-PC-38754</t>
        </is>
      </c>
      <c r="B415" s="4" t="inlineStr">
        <is>
          <t>On-Call: Sparrow Hill Solar Section 106 Consultation</t>
        </is>
      </c>
      <c r="C415" s="4" t="inlineStr">
        <is>
          <t>In Progress</t>
        </is>
      </c>
      <c r="D415" s="4" t="inlineStr">
        <is>
          <t>Fixed fee</t>
        </is>
      </c>
      <c r="E415" s="4" t="inlineStr">
        <is>
          <t>Red Rock</t>
        </is>
      </c>
      <c r="F415" s="4" t="inlineStr">
        <is>
          <t>Javier Newman</t>
        </is>
      </c>
      <c r="G415" s="5" t="n">
        <v>63900</v>
      </c>
      <c r="H415" s="5" t="n">
        <v>63900</v>
      </c>
      <c r="I415" s="5" t="n">
        <v>60446.65</v>
      </c>
      <c r="J415" s="5" t="n">
        <v>41637.24</v>
      </c>
      <c r="K415" s="5" t="n">
        <v>41637.24</v>
      </c>
      <c r="L415" s="5" t="n">
        <v>0</v>
      </c>
      <c r="M415" s="5" t="n">
        <v>60770.39</v>
      </c>
      <c r="N415" s="5" t="n">
        <v>-19133.15</v>
      </c>
      <c r="O415" s="5" t="n">
        <v>-19133.15</v>
      </c>
      <c r="P415" s="4" t="n"/>
      <c r="Q415" s="6" t="n">
        <v>1</v>
      </c>
      <c r="R415" s="6" t="n">
        <v>1.4595</v>
      </c>
    </row>
    <row r="416">
      <c r="A416" s="4" t="inlineStr">
        <is>
          <t>25-PC-38835</t>
        </is>
      </c>
      <c r="B416" s="4" t="inlineStr">
        <is>
          <t>Phase I: Windmill Flat Battery Storage Archaeological Testing</t>
        </is>
      </c>
      <c r="C416" s="4" t="inlineStr">
        <is>
          <t>Final Reporting/Review</t>
        </is>
      </c>
      <c r="D416" s="4" t="inlineStr">
        <is>
          <t>Fixed fee</t>
        </is>
      </c>
      <c r="E416" s="4" t="inlineStr">
        <is>
          <t>Red Rock</t>
        </is>
      </c>
      <c r="F416" s="4" t="inlineStr">
        <is>
          <t>Bruce Suarez</t>
        </is>
      </c>
      <c r="G416" s="5" t="n">
        <v>10400</v>
      </c>
      <c r="H416" s="5" t="n">
        <v>10400</v>
      </c>
      <c r="I416" s="5" t="n">
        <v>9781.639999999999</v>
      </c>
      <c r="J416" s="5" t="n">
        <v>5866.64</v>
      </c>
      <c r="K416" s="5" t="n">
        <v>5866.64</v>
      </c>
      <c r="L416" s="5" t="n">
        <v>0</v>
      </c>
      <c r="M416" s="5" t="n">
        <v>18017.52</v>
      </c>
      <c r="N416" s="5" t="n">
        <v>-12150.88</v>
      </c>
      <c r="O416" s="5" t="n">
        <v>-12150.88</v>
      </c>
      <c r="P416" s="4" t="n"/>
      <c r="Q416" s="6" t="n">
        <v>1</v>
      </c>
      <c r="R416" s="6" t="n">
        <v>3.0712</v>
      </c>
    </row>
    <row r="417">
      <c r="A417" s="4" t="inlineStr">
        <is>
          <t>25-PC-38879</t>
        </is>
      </c>
      <c r="B417" s="4" t="inlineStr">
        <is>
          <t>Kestrel Butte Built Environment Survey</t>
        </is>
      </c>
      <c r="C417" s="4" t="inlineStr">
        <is>
          <t>In Progress</t>
        </is>
      </c>
      <c r="D417" s="4" t="inlineStr">
        <is>
          <t>Fixed fee</t>
        </is>
      </c>
      <c r="E417" s="4" t="inlineStr">
        <is>
          <t>Red Rock</t>
        </is>
      </c>
      <c r="F417" s="4" t="inlineStr">
        <is>
          <t>Marisa Odom</t>
        </is>
      </c>
      <c r="G417" s="5" t="n">
        <v>119700</v>
      </c>
      <c r="H417" s="5" t="n">
        <v>88482.24000000001</v>
      </c>
      <c r="I417" s="5" t="n">
        <v>88482.24000000001</v>
      </c>
      <c r="J417" s="5" t="n">
        <v>70323.75</v>
      </c>
      <c r="K417" s="5" t="n">
        <v>70323.75</v>
      </c>
      <c r="L417" s="5" t="n">
        <v>0</v>
      </c>
      <c r="M417" s="5" t="n">
        <v>51984.23</v>
      </c>
      <c r="N417" s="5" t="n">
        <v>18339.52</v>
      </c>
      <c r="O417" s="5" t="n">
        <v>18339.52</v>
      </c>
      <c r="P417" s="4" t="n"/>
      <c r="Q417" s="6" t="n">
        <v>0.739</v>
      </c>
      <c r="R417" s="6" t="n">
        <v>0.7392</v>
      </c>
    </row>
    <row r="418">
      <c r="A418" s="4" t="inlineStr">
        <is>
          <t>25-PC-39035</t>
        </is>
      </c>
      <c r="B418" s="4" t="inlineStr">
        <is>
          <t>Rushgrass Draw School Campus - Built Environment Survey</t>
        </is>
      </c>
      <c r="C418" s="4" t="inlineStr">
        <is>
          <t>In Progress</t>
        </is>
      </c>
      <c r="D418" s="4" t="inlineStr">
        <is>
          <t>Time and material</t>
        </is>
      </c>
      <c r="E418" s="4" t="inlineStr">
        <is>
          <t>Red Rock</t>
        </is>
      </c>
      <c r="F418" s="4" t="inlineStr">
        <is>
          <t>Tina Aguirre</t>
        </is>
      </c>
      <c r="G418" s="5" t="n">
        <v>244000</v>
      </c>
      <c r="H418" s="5" t="n">
        <v>201680</v>
      </c>
      <c r="I418" s="5" t="n">
        <v>201680</v>
      </c>
      <c r="J418" s="5" t="n">
        <v>174704</v>
      </c>
      <c r="K418" s="5" t="n">
        <v>174704</v>
      </c>
      <c r="L418" s="5" t="n">
        <v>0</v>
      </c>
      <c r="M418" s="5" t="n">
        <v>157468.07</v>
      </c>
      <c r="N418" s="5" t="n">
        <v>17235.92999999999</v>
      </c>
      <c r="O418" s="5" t="n">
        <v>17235.92999999999</v>
      </c>
      <c r="P418" s="4" t="n"/>
      <c r="Q418" s="6" t="n">
        <v>0.827</v>
      </c>
      <c r="R418" s="6" t="n">
        <v>0.9013</v>
      </c>
    </row>
    <row r="419">
      <c r="A419" s="4" t="inlineStr">
        <is>
          <t>25-PC-39085</t>
        </is>
      </c>
      <c r="B419" s="4" t="inlineStr">
        <is>
          <t>Slate Ridge Environmental Review Support</t>
        </is>
      </c>
      <c r="C419" s="4" t="inlineStr">
        <is>
          <t>In Progress</t>
        </is>
      </c>
      <c r="D419" s="4" t="inlineStr">
        <is>
          <t>Fixed fee</t>
        </is>
      </c>
      <c r="E419" s="4" t="inlineStr">
        <is>
          <t>Red Rock</t>
        </is>
      </c>
      <c r="F419" s="4" t="inlineStr">
        <is>
          <t>Bruce Suarez</t>
        </is>
      </c>
      <c r="G419" s="5" t="n">
        <v>120700</v>
      </c>
      <c r="H419" s="5" t="n">
        <v>119806.82</v>
      </c>
      <c r="I419" s="5" t="n">
        <v>119806.82</v>
      </c>
      <c r="J419" s="5" t="n">
        <v>69209.38</v>
      </c>
      <c r="K419" s="5" t="n">
        <v>69209.38</v>
      </c>
      <c r="L419" s="5" t="n">
        <v>0</v>
      </c>
      <c r="M419" s="5" t="n">
        <v>68696.85000000001</v>
      </c>
      <c r="N419" s="5" t="n">
        <v>512.5299999999988</v>
      </c>
      <c r="O419" s="5" t="n">
        <v>512.5299999999988</v>
      </c>
      <c r="P419" s="4" t="n"/>
      <c r="Q419" s="6" t="n">
        <v>0.993</v>
      </c>
      <c r="R419" s="6" t="n">
        <v>0.9926</v>
      </c>
    </row>
    <row r="420">
      <c r="A420" s="4" t="inlineStr">
        <is>
          <t>25-PC-39093</t>
        </is>
      </c>
      <c r="B420" s="4" t="inlineStr">
        <is>
          <t>Goldfinch Canal Lining Phase I Survey</t>
        </is>
      </c>
      <c r="C420" s="4" t="inlineStr">
        <is>
          <t>In Progress</t>
        </is>
      </c>
      <c r="D420" s="4" t="inlineStr">
        <is>
          <t>Fixed fee</t>
        </is>
      </c>
      <c r="E420" s="4" t="inlineStr">
        <is>
          <t>Red Rock</t>
        </is>
      </c>
      <c r="F420" s="4" t="inlineStr">
        <is>
          <t>Tina Aguirre</t>
        </is>
      </c>
      <c r="G420" s="5" t="n">
        <v>100100</v>
      </c>
      <c r="H420" s="5" t="n">
        <v>49219.17</v>
      </c>
      <c r="I420" s="5" t="n">
        <v>45898.43</v>
      </c>
      <c r="J420" s="5" t="n">
        <v>73673.60000000001</v>
      </c>
      <c r="K420" s="5" t="n">
        <v>73673.60000000001</v>
      </c>
      <c r="L420" s="5" t="n">
        <v>0</v>
      </c>
      <c r="M420" s="5" t="n">
        <v>36221.91</v>
      </c>
      <c r="N420" s="5" t="n">
        <v>37451.69</v>
      </c>
      <c r="O420" s="5" t="n">
        <v>37451.69</v>
      </c>
      <c r="P420" s="4" t="n"/>
      <c r="Q420" s="6" t="n">
        <v>0.492</v>
      </c>
      <c r="R420" s="6" t="n">
        <v>0.4917</v>
      </c>
    </row>
    <row r="421">
      <c r="A421" s="4" t="inlineStr">
        <is>
          <t>25-PC-39118</t>
        </is>
      </c>
      <c r="B421" s="4" t="inlineStr">
        <is>
          <t>Harbor View Harbor Dredging Cultural Resources Monitoring</t>
        </is>
      </c>
      <c r="C421" s="4" t="inlineStr">
        <is>
          <t>In Progress</t>
        </is>
      </c>
      <c r="D421" s="4" t="inlineStr">
        <is>
          <t>Fixed fee</t>
        </is>
      </c>
      <c r="E421" s="4" t="inlineStr">
        <is>
          <t>Red Rock</t>
        </is>
      </c>
      <c r="F421" s="4" t="inlineStr">
        <is>
          <t>Shelia Horne</t>
        </is>
      </c>
      <c r="G421" s="5" t="n">
        <v>90300</v>
      </c>
      <c r="H421" s="5" t="n">
        <v>67986.87</v>
      </c>
      <c r="I421" s="5" t="n">
        <v>62928.94</v>
      </c>
      <c r="J421" s="5" t="n">
        <v>58198.35</v>
      </c>
      <c r="K421" s="5" t="n">
        <v>58198.35</v>
      </c>
      <c r="L421" s="5" t="n">
        <v>0</v>
      </c>
      <c r="M421" s="5" t="n">
        <v>43819.98</v>
      </c>
      <c r="N421" s="5" t="n">
        <v>14378.37</v>
      </c>
      <c r="O421" s="5" t="n">
        <v>14378.37</v>
      </c>
      <c r="P421" s="4" t="n"/>
      <c r="Q421" s="6" t="n">
        <v>0.753</v>
      </c>
      <c r="R421" s="6" t="n">
        <v>0.7529</v>
      </c>
    </row>
    <row r="422">
      <c r="A422" s="4" t="inlineStr">
        <is>
          <t>25-PC-39187</t>
        </is>
      </c>
      <c r="B422" s="4" t="inlineStr">
        <is>
          <t>Windmill Flat Trail - Architectural History Survey</t>
        </is>
      </c>
      <c r="C422" s="4" t="inlineStr">
        <is>
          <t>Lab/Curation</t>
        </is>
      </c>
      <c r="D422" s="4" t="inlineStr">
        <is>
          <t>Fixed fee</t>
        </is>
      </c>
      <c r="E422" s="4" t="inlineStr">
        <is>
          <t>Red Rock</t>
        </is>
      </c>
      <c r="F422" s="4" t="inlineStr">
        <is>
          <t>Javier Newman</t>
        </is>
      </c>
      <c r="G422" s="5" t="n">
        <v>28100</v>
      </c>
      <c r="H422" s="5" t="n">
        <v>13811.15</v>
      </c>
      <c r="I422" s="5" t="n">
        <v>13811.15</v>
      </c>
      <c r="J422" s="5" t="n">
        <v>19470.49</v>
      </c>
      <c r="K422" s="5" t="n">
        <v>19470.49</v>
      </c>
      <c r="L422" s="5" t="n">
        <v>0</v>
      </c>
      <c r="M422" s="5" t="n">
        <v>9569.280000000001</v>
      </c>
      <c r="N422" s="5" t="n">
        <v>9901.210000000001</v>
      </c>
      <c r="O422" s="5" t="n">
        <v>9901.210000000001</v>
      </c>
      <c r="P422" s="4" t="n"/>
      <c r="Q422" s="6" t="n">
        <v>0.491</v>
      </c>
      <c r="R422" s="6" t="n">
        <v>0.4915</v>
      </c>
    </row>
    <row r="423">
      <c r="A423" s="4" t="inlineStr">
        <is>
          <t>25-PC-39318</t>
        </is>
      </c>
      <c r="B423" s="4" t="inlineStr">
        <is>
          <t>Lone Pine Fiber Route - Class III Survey</t>
        </is>
      </c>
      <c r="C423" s="4" t="inlineStr">
        <is>
          <t>In Progress</t>
        </is>
      </c>
      <c r="D423" s="4" t="inlineStr">
        <is>
          <t>Fixed fee</t>
        </is>
      </c>
      <c r="E423" s="4" t="inlineStr">
        <is>
          <t>Red Rock</t>
        </is>
      </c>
      <c r="F423" s="4" t="inlineStr">
        <is>
          <t>Marisa Odom</t>
        </is>
      </c>
      <c r="G423" s="5" t="n">
        <v>104300</v>
      </c>
      <c r="H423" s="5" t="n">
        <v>71143.03</v>
      </c>
      <c r="I423" s="5" t="n">
        <v>70186.39999999999</v>
      </c>
      <c r="J423" s="5" t="n">
        <v>69818.42</v>
      </c>
      <c r="K423" s="5" t="n">
        <v>69818.42</v>
      </c>
      <c r="L423" s="5" t="n">
        <v>0</v>
      </c>
      <c r="M423" s="5" t="n">
        <v>47626.24</v>
      </c>
      <c r="N423" s="5" t="n">
        <v>22192.18</v>
      </c>
      <c r="O423" s="5" t="n">
        <v>22192.18</v>
      </c>
      <c r="P423" s="4" t="n"/>
      <c r="Q423" s="6" t="n">
        <v>0.6820000000000001</v>
      </c>
      <c r="R423" s="6" t="n">
        <v>0.6821</v>
      </c>
    </row>
    <row r="424">
      <c r="A424" s="4" t="inlineStr">
        <is>
          <t>25-PC-39358</t>
        </is>
      </c>
      <c r="B424" s="4" t="inlineStr">
        <is>
          <t>Task Order 1: Hawk Point Wastewater Plant Archaeological Testing</t>
        </is>
      </c>
      <c r="C424" s="4" t="inlineStr">
        <is>
          <t>Final Reporting/Review</t>
        </is>
      </c>
      <c r="D424" s="4" t="inlineStr">
        <is>
          <t>Time and material</t>
        </is>
      </c>
      <c r="E424" s="4" t="inlineStr">
        <is>
          <t>Red Rock</t>
        </is>
      </c>
      <c r="F424" s="4" t="inlineStr">
        <is>
          <t>Tina Aguirre</t>
        </is>
      </c>
      <c r="G424" s="5" t="n">
        <v>55900</v>
      </c>
      <c r="H424" s="5" t="n">
        <v>55900</v>
      </c>
      <c r="I424" s="5" t="n">
        <v>54034.56</v>
      </c>
      <c r="J424" s="5" t="n">
        <v>39633.1</v>
      </c>
      <c r="K424" s="5" t="n">
        <v>39633.1</v>
      </c>
      <c r="L424" s="5" t="n">
        <v>0</v>
      </c>
      <c r="M424" s="5" t="n">
        <v>38428.92</v>
      </c>
      <c r="N424" s="5" t="n">
        <v>1204.18</v>
      </c>
      <c r="O424" s="5" t="n">
        <v>1204.18</v>
      </c>
      <c r="P424" s="4" t="n"/>
      <c r="Q424" s="6" t="n">
        <v>1</v>
      </c>
      <c r="R424" s="6" t="n">
        <v>0.9696</v>
      </c>
    </row>
    <row r="425">
      <c r="A425" s="4" t="inlineStr">
        <is>
          <t>25-PC-39398</t>
        </is>
      </c>
      <c r="B425" s="4" t="inlineStr">
        <is>
          <t>Silver Lake Housing Development - Data Recovery</t>
        </is>
      </c>
      <c r="C425" s="4" t="inlineStr">
        <is>
          <t>Final Reporting/Review</t>
        </is>
      </c>
      <c r="D425" s="4" t="inlineStr">
        <is>
          <t>Fixed fee</t>
        </is>
      </c>
      <c r="E425" s="4" t="inlineStr">
        <is>
          <t>Red Rock</t>
        </is>
      </c>
      <c r="F425" s="4" t="inlineStr">
        <is>
          <t>Marisa Odom</t>
        </is>
      </c>
      <c r="G425" s="5" t="n">
        <v>103300</v>
      </c>
      <c r="H425" s="5" t="n">
        <v>66783.45</v>
      </c>
      <c r="I425" s="5" t="n">
        <v>66783.45</v>
      </c>
      <c r="J425" s="5" t="n">
        <v>81096.61</v>
      </c>
      <c r="K425" s="5" t="n">
        <v>66453.3</v>
      </c>
      <c r="L425" s="5" t="n">
        <v>14643.31</v>
      </c>
      <c r="M425" s="5" t="n">
        <v>52431.07</v>
      </c>
      <c r="N425" s="5" t="n">
        <v>28665.54</v>
      </c>
      <c r="O425" s="5" t="n">
        <v>14022.23</v>
      </c>
      <c r="P425" s="4" t="n"/>
      <c r="Q425" s="6" t="n">
        <v>0.646</v>
      </c>
      <c r="R425" s="6" t="n">
        <v>0.6465</v>
      </c>
    </row>
    <row r="426">
      <c r="A426" s="4" t="inlineStr">
        <is>
          <t>25-PC-39422</t>
        </is>
      </c>
      <c r="B426" s="4" t="inlineStr">
        <is>
          <t>Willow Springs Historic Resources Evaluation</t>
        </is>
      </c>
      <c r="C426" s="4" t="inlineStr">
        <is>
          <t>In Progress</t>
        </is>
      </c>
      <c r="D426" s="4" t="inlineStr">
        <is>
          <t>Fixed fee</t>
        </is>
      </c>
      <c r="E426" s="4" t="inlineStr">
        <is>
          <t>Red Rock</t>
        </is>
      </c>
      <c r="F426" s="4" t="inlineStr">
        <is>
          <t>Bruce Suarez</t>
        </is>
      </c>
      <c r="G426" s="5" t="n">
        <v>56900</v>
      </c>
      <c r="H426" s="5" t="n">
        <v>14731.41</v>
      </c>
      <c r="I426" s="5" t="n">
        <v>14948.37</v>
      </c>
      <c r="J426" s="5" t="n">
        <v>45036.35</v>
      </c>
      <c r="K426" s="5" t="n">
        <v>45036.35</v>
      </c>
      <c r="L426" s="5" t="n">
        <v>0</v>
      </c>
      <c r="M426" s="5" t="n">
        <v>11658.25</v>
      </c>
      <c r="N426" s="5" t="n">
        <v>33378.1</v>
      </c>
      <c r="O426" s="5" t="n">
        <v>33378.1</v>
      </c>
      <c r="P426" s="4" t="n"/>
      <c r="Q426" s="6" t="n">
        <v>0.259</v>
      </c>
      <c r="R426" s="6" t="n">
        <v>0.2589</v>
      </c>
    </row>
    <row r="427">
      <c r="A427" s="4" t="inlineStr">
        <is>
          <t>25-PC-39424</t>
        </is>
      </c>
      <c r="B427" s="4" t="inlineStr">
        <is>
          <t>Tansy Flat Cultural Resources Assessment</t>
        </is>
      </c>
      <c r="C427" s="4" t="inlineStr">
        <is>
          <t>In Progress</t>
        </is>
      </c>
      <c r="D427" s="4" t="inlineStr">
        <is>
          <t>Fixed fee</t>
        </is>
      </c>
      <c r="E427" s="4" t="inlineStr">
        <is>
          <t>Red Rock</t>
        </is>
      </c>
      <c r="F427" s="4" t="inlineStr">
        <is>
          <t>Shelia Horne</t>
        </is>
      </c>
      <c r="G427" s="5" t="n">
        <v>19700</v>
      </c>
      <c r="H427" s="5" t="n">
        <v>19700</v>
      </c>
      <c r="I427" s="5" t="n">
        <v>17614.13</v>
      </c>
      <c r="J427" s="5" t="n">
        <v>13882.59</v>
      </c>
      <c r="K427" s="5" t="n">
        <v>13882.59</v>
      </c>
      <c r="L427" s="5" t="n">
        <v>0</v>
      </c>
      <c r="M427" s="5" t="n">
        <v>16267.84</v>
      </c>
      <c r="N427" s="5" t="n">
        <v>-2385.25</v>
      </c>
      <c r="O427" s="5" t="n">
        <v>-2385.25</v>
      </c>
      <c r="P427" s="4" t="n"/>
      <c r="Q427" s="6" t="n">
        <v>1</v>
      </c>
      <c r="R427" s="6" t="n">
        <v>1.1718</v>
      </c>
    </row>
    <row r="428">
      <c r="A428" s="4" t="inlineStr">
        <is>
          <t>25-PC-39458</t>
        </is>
      </c>
      <c r="B428" s="4" t="inlineStr">
        <is>
          <t>Larkspur Park Improvements Paleontological Monitoring</t>
        </is>
      </c>
      <c r="C428" s="4" t="inlineStr">
        <is>
          <t>In Progress</t>
        </is>
      </c>
      <c r="D428" s="4" t="inlineStr">
        <is>
          <t>Time and material</t>
        </is>
      </c>
      <c r="E428" s="4" t="inlineStr">
        <is>
          <t>Red Rock</t>
        </is>
      </c>
      <c r="F428" s="4" t="inlineStr">
        <is>
          <t>Bruce Suarez</t>
        </is>
      </c>
      <c r="G428" s="5" t="n">
        <v>345000</v>
      </c>
      <c r="H428" s="5" t="n">
        <v>230912.25</v>
      </c>
      <c r="I428" s="5" t="n">
        <v>222777.3</v>
      </c>
      <c r="J428" s="5" t="n">
        <v>242983.5</v>
      </c>
      <c r="K428" s="5" t="n">
        <v>242983.5</v>
      </c>
      <c r="L428" s="5" t="n">
        <v>0</v>
      </c>
      <c r="M428" s="5" t="n">
        <v>143586.3</v>
      </c>
      <c r="N428" s="5" t="n">
        <v>99397.20000000001</v>
      </c>
      <c r="O428" s="5" t="n">
        <v>99397.20000000001</v>
      </c>
      <c r="P428" s="4" t="n"/>
      <c r="Q428" s="6" t="n">
        <v>0.669</v>
      </c>
      <c r="R428" s="6" t="n">
        <v>0.5909</v>
      </c>
    </row>
    <row r="429">
      <c r="A429" s="4" t="inlineStr">
        <is>
          <t>25-PC-39554</t>
        </is>
      </c>
      <c r="B429" s="4" t="inlineStr">
        <is>
          <t>Thistle Down Archaeological Testing</t>
        </is>
      </c>
      <c r="C429" s="4" t="inlineStr">
        <is>
          <t>In Progress</t>
        </is>
      </c>
      <c r="D429" s="4" t="inlineStr">
        <is>
          <t>Fixed fee</t>
        </is>
      </c>
      <c r="E429" s="4" t="inlineStr">
        <is>
          <t>Red Rock</t>
        </is>
      </c>
      <c r="F429" s="4" t="inlineStr">
        <is>
          <t>Tina Aguirre</t>
        </is>
      </c>
      <c r="G429" s="5" t="n">
        <v>86700</v>
      </c>
      <c r="H429" s="5" t="n">
        <v>75628.41</v>
      </c>
      <c r="I429" s="5" t="n">
        <v>63747.46</v>
      </c>
      <c r="J429" s="5" t="n">
        <v>63594.45</v>
      </c>
      <c r="K429" s="5" t="n">
        <v>63594.45</v>
      </c>
      <c r="L429" s="5" t="n">
        <v>0</v>
      </c>
      <c r="M429" s="5" t="n">
        <v>55476.01</v>
      </c>
      <c r="N429" s="5" t="n">
        <v>8118.439999999995</v>
      </c>
      <c r="O429" s="5" t="n">
        <v>8118.439999999995</v>
      </c>
      <c r="P429" s="4" t="n"/>
      <c r="Q429" s="6" t="n">
        <v>0.872</v>
      </c>
      <c r="R429" s="6" t="n">
        <v>0.8723</v>
      </c>
    </row>
    <row r="430">
      <c r="A430" s="4" t="inlineStr">
        <is>
          <t>25-PC-39765</t>
        </is>
      </c>
      <c r="B430" s="4" t="inlineStr">
        <is>
          <t>Phase II: Windmill Flat Wind Farm Built Environment Survey</t>
        </is>
      </c>
      <c r="C430" s="4" t="inlineStr">
        <is>
          <t>In Progress</t>
        </is>
      </c>
      <c r="D430" s="4" t="inlineStr">
        <is>
          <t>Time and material</t>
        </is>
      </c>
      <c r="E430" s="4" t="inlineStr">
        <is>
          <t>Red Rock</t>
        </is>
      </c>
      <c r="F430" s="4" t="inlineStr">
        <is>
          <t>Javier Newman</t>
        </is>
      </c>
      <c r="G430" s="5" t="n">
        <v>51000</v>
      </c>
      <c r="H430" s="5" t="n">
        <v>51000</v>
      </c>
      <c r="I430" s="5" t="n">
        <v>51000</v>
      </c>
      <c r="J430" s="5" t="n">
        <v>36551.7</v>
      </c>
      <c r="K430" s="5" t="n">
        <v>36551.7</v>
      </c>
      <c r="L430" s="5" t="n">
        <v>0</v>
      </c>
      <c r="M430" s="5" t="n">
        <v>75197.03999999999</v>
      </c>
      <c r="N430" s="5" t="n">
        <v>-38645.34</v>
      </c>
      <c r="O430" s="5" t="n">
        <v>-38645.34</v>
      </c>
      <c r="P430" s="4" t="n"/>
      <c r="Q430" s="6" t="n">
        <v>1</v>
      </c>
      <c r="R430" s="6" t="n">
        <v>2.0573</v>
      </c>
    </row>
    <row r="431">
      <c r="A431" s="4" t="inlineStr">
        <is>
          <t>25-PC-39808</t>
        </is>
      </c>
      <c r="B431" s="4" t="inlineStr">
        <is>
          <t>On-Call: Pine Hollow Rail Siding Architectural History Survey</t>
        </is>
      </c>
      <c r="C431" s="4" t="inlineStr">
        <is>
          <t>In Progress</t>
        </is>
      </c>
      <c r="D431" s="4" t="inlineStr">
        <is>
          <t>Fixed fee</t>
        </is>
      </c>
      <c r="E431" s="4" t="inlineStr">
        <is>
          <t>Red Rock</t>
        </is>
      </c>
      <c r="F431" s="4" t="inlineStr">
        <is>
          <t>Marisa Odom</t>
        </is>
      </c>
      <c r="G431" s="5" t="n">
        <v>140600</v>
      </c>
      <c r="H431" s="5" t="n">
        <v>77597.14</v>
      </c>
      <c r="I431" s="5" t="n">
        <v>77597.14</v>
      </c>
      <c r="J431" s="5" t="n">
        <v>88846.16</v>
      </c>
      <c r="K431" s="5" t="n">
        <v>68571.89999999999</v>
      </c>
      <c r="L431" s="5" t="n">
        <v>20274.26</v>
      </c>
      <c r="M431" s="5" t="n">
        <v>49031.18</v>
      </c>
      <c r="N431" s="5" t="n">
        <v>39814.98</v>
      </c>
      <c r="O431" s="5" t="n">
        <v>19540.71999999999</v>
      </c>
      <c r="P431" s="4" t="n"/>
      <c r="Q431" s="6" t="n">
        <v>0.552</v>
      </c>
      <c r="R431" s="6" t="n">
        <v>0.5518999999999999</v>
      </c>
    </row>
    <row r="432">
      <c r="A432" s="4" t="inlineStr">
        <is>
          <t>25-PC-39873</t>
        </is>
      </c>
      <c r="B432" s="4" t="inlineStr">
        <is>
          <t>On-Call: Eagle Bend Battery Storage Phase II Testing</t>
        </is>
      </c>
      <c r="C432" s="4" t="inlineStr">
        <is>
          <t>In Progress</t>
        </is>
      </c>
      <c r="D432" s="4" t="inlineStr">
        <is>
          <t>Fixed fee</t>
        </is>
      </c>
      <c r="E432" s="4" t="inlineStr">
        <is>
          <t>Red Rock</t>
        </is>
      </c>
      <c r="F432" s="4" t="inlineStr">
        <is>
          <t>Marisa Odom</t>
        </is>
      </c>
      <c r="G432" s="5" t="n">
        <v>93300</v>
      </c>
      <c r="H432" s="5" t="n">
        <v>44364.15</v>
      </c>
      <c r="I432" s="5" t="n">
        <v>41424.71</v>
      </c>
      <c r="J432" s="5" t="n">
        <v>70478.82000000001</v>
      </c>
      <c r="K432" s="5" t="n">
        <v>70478.82000000001</v>
      </c>
      <c r="L432" s="5" t="n">
        <v>0</v>
      </c>
      <c r="M432" s="5" t="n">
        <v>33515.14</v>
      </c>
      <c r="N432" s="5" t="n">
        <v>36963.68000000001</v>
      </c>
      <c r="O432" s="5" t="n">
        <v>36963.68000000001</v>
      </c>
      <c r="P432" s="4" t="n"/>
      <c r="Q432" s="6" t="n">
        <v>0.476</v>
      </c>
      <c r="R432" s="6" t="n">
        <v>0.4755</v>
      </c>
    </row>
    <row r="433">
      <c r="A433" s="4" t="inlineStr">
        <is>
          <t>25-PC-39885</t>
        </is>
      </c>
      <c r="B433" s="4" t="inlineStr">
        <is>
          <t>Bramble Creek Phase I Survey</t>
        </is>
      </c>
      <c r="C433" s="4" t="inlineStr">
        <is>
          <t>In Progress</t>
        </is>
      </c>
      <c r="D433" s="4" t="inlineStr">
        <is>
          <t>Fixed fee</t>
        </is>
      </c>
      <c r="E433" s="4" t="inlineStr">
        <is>
          <t>Red Rock</t>
        </is>
      </c>
      <c r="F433" s="4" t="inlineStr">
        <is>
          <t>Tina Aguirre</t>
        </is>
      </c>
      <c r="G433" s="5" t="n">
        <v>85600</v>
      </c>
      <c r="H433" s="5" t="n">
        <v>55357.52</v>
      </c>
      <c r="I433" s="5" t="n">
        <v>55221.19</v>
      </c>
      <c r="J433" s="5" t="n">
        <v>54047.84</v>
      </c>
      <c r="K433" s="5" t="n">
        <v>54047.84</v>
      </c>
      <c r="L433" s="5" t="n">
        <v>0</v>
      </c>
      <c r="M433" s="5" t="n">
        <v>34953.01</v>
      </c>
      <c r="N433" s="5" t="n">
        <v>19094.82999999999</v>
      </c>
      <c r="O433" s="5" t="n">
        <v>19094.82999999999</v>
      </c>
      <c r="P433" s="4" t="n"/>
      <c r="Q433" s="6" t="n">
        <v>0.647</v>
      </c>
      <c r="R433" s="6" t="n">
        <v>0.6467000000000001</v>
      </c>
    </row>
    <row r="434">
      <c r="A434" s="4" t="inlineStr">
        <is>
          <t>25-PC-39896</t>
        </is>
      </c>
      <c r="B434" s="4" t="inlineStr">
        <is>
          <t>Task Order 8: Raven Rock Highway Widening Archaeological Testing</t>
        </is>
      </c>
      <c r="C434" s="4" t="inlineStr">
        <is>
          <t>In Progress</t>
        </is>
      </c>
      <c r="D434" s="4" t="inlineStr">
        <is>
          <t>Fixed fee</t>
        </is>
      </c>
      <c r="E434" s="4" t="inlineStr">
        <is>
          <t>Red Rock</t>
        </is>
      </c>
      <c r="F434" s="4" t="inlineStr">
        <is>
          <t>Lydia Cisneros</t>
        </is>
      </c>
      <c r="G434" s="5" t="n">
        <v>730900</v>
      </c>
      <c r="H434" s="5" t="n">
        <v>541743.08</v>
      </c>
      <c r="I434" s="5" t="n">
        <v>541743.08</v>
      </c>
      <c r="J434" s="5" t="n">
        <v>540257.83</v>
      </c>
      <c r="K434" s="5" t="n">
        <v>458118.4</v>
      </c>
      <c r="L434" s="5" t="n">
        <v>82139.42999999999</v>
      </c>
      <c r="M434" s="5" t="n">
        <v>400441.47</v>
      </c>
      <c r="N434" s="5" t="n">
        <v>139816.36</v>
      </c>
      <c r="O434" s="5" t="n">
        <v>57676.93000000005</v>
      </c>
      <c r="P434" s="4" t="n"/>
      <c r="Q434" s="6" t="n">
        <v>0.741</v>
      </c>
      <c r="R434" s="6" t="n">
        <v>0.7412</v>
      </c>
    </row>
    <row r="435">
      <c r="A435" s="4" t="inlineStr">
        <is>
          <t>25-PC-39951</t>
        </is>
      </c>
      <c r="B435" s="4" t="inlineStr">
        <is>
          <t>Falcon Mesa Reservoir - Phase II Testing</t>
        </is>
      </c>
      <c r="C435" s="4" t="inlineStr">
        <is>
          <t>Cost Tracking on Closed Project</t>
        </is>
      </c>
      <c r="D435" s="4" t="inlineStr">
        <is>
          <t>Fixed fee</t>
        </is>
      </c>
      <c r="E435" s="4" t="inlineStr">
        <is>
          <t>Red Rock</t>
        </is>
      </c>
      <c r="F435" s="4" t="inlineStr">
        <is>
          <t>Javier Newman</t>
        </is>
      </c>
      <c r="G435" s="5" t="n">
        <v>87200</v>
      </c>
      <c r="H435" s="5" t="n">
        <v>69358.88</v>
      </c>
      <c r="I435" s="5" t="n">
        <v>69358.88</v>
      </c>
      <c r="J435" s="5" t="n">
        <v>65277.92</v>
      </c>
      <c r="K435" s="5" t="n">
        <v>65277.92</v>
      </c>
      <c r="L435" s="5" t="n">
        <v>0</v>
      </c>
      <c r="M435" s="5" t="n">
        <v>51921.91</v>
      </c>
      <c r="N435" s="5" t="n">
        <v>13356.00999999999</v>
      </c>
      <c r="O435" s="5" t="n">
        <v>13356.00999999999</v>
      </c>
      <c r="P435" s="4" t="n"/>
      <c r="Q435" s="6" t="n">
        <v>0.795</v>
      </c>
      <c r="R435" s="6" t="n">
        <v>0.7954</v>
      </c>
    </row>
    <row r="436">
      <c r="A436" s="4" t="inlineStr">
        <is>
          <t>25-PC-40231</t>
        </is>
      </c>
      <c r="B436" s="4" t="inlineStr">
        <is>
          <t>Goldfinch Pipeline - Section 106 Consultation</t>
        </is>
      </c>
      <c r="C436" s="4" t="inlineStr">
        <is>
          <t>In Progress</t>
        </is>
      </c>
      <c r="D436" s="4" t="inlineStr">
        <is>
          <t>Time and material</t>
        </is>
      </c>
      <c r="E436" s="4" t="inlineStr">
        <is>
          <t>Sierra</t>
        </is>
      </c>
      <c r="F436" s="4" t="inlineStr">
        <is>
          <t>Donna Herring</t>
        </is>
      </c>
      <c r="G436" s="5" t="n">
        <v>88300</v>
      </c>
      <c r="H436" s="5" t="n">
        <v>65426.7</v>
      </c>
      <c r="I436" s="5" t="n">
        <v>60462.94</v>
      </c>
      <c r="J436" s="5" t="n">
        <v>59478.88</v>
      </c>
      <c r="K436" s="5" t="n">
        <v>59478.88</v>
      </c>
      <c r="L436" s="5" t="n">
        <v>0</v>
      </c>
      <c r="M436" s="5" t="n">
        <v>40234.79</v>
      </c>
      <c r="N436" s="5" t="n">
        <v>19244.09</v>
      </c>
      <c r="O436" s="5" t="n">
        <v>19244.09</v>
      </c>
      <c r="P436" s="4" t="n"/>
      <c r="Q436" s="6" t="n">
        <v>0.741</v>
      </c>
      <c r="R436" s="6" t="n">
        <v>0.6765</v>
      </c>
    </row>
    <row r="437">
      <c r="A437" s="4" t="inlineStr">
        <is>
          <t>25-PC-40383</t>
        </is>
      </c>
      <c r="B437" s="4" t="inlineStr">
        <is>
          <t>North Fork Archaeological Testing</t>
        </is>
      </c>
      <c r="C437" s="4" t="inlineStr">
        <is>
          <t>In Progress</t>
        </is>
      </c>
      <c r="D437" s="4" t="inlineStr">
        <is>
          <t>Fixed fee</t>
        </is>
      </c>
      <c r="E437" s="4" t="inlineStr">
        <is>
          <t>Sierra</t>
        </is>
      </c>
      <c r="F437" s="4" t="inlineStr">
        <is>
          <t>Donna Herring</t>
        </is>
      </c>
      <c r="G437" s="5" t="n">
        <v>193200</v>
      </c>
      <c r="H437" s="5" t="n">
        <v>161148.12</v>
      </c>
      <c r="I437" s="5" t="n">
        <v>161148.12</v>
      </c>
      <c r="J437" s="5" t="n">
        <v>144185.16</v>
      </c>
      <c r="K437" s="5" t="n">
        <v>144185.16</v>
      </c>
      <c r="L437" s="5" t="n">
        <v>0</v>
      </c>
      <c r="M437" s="5" t="n">
        <v>120262.61</v>
      </c>
      <c r="N437" s="5" t="n">
        <v>23922.55</v>
      </c>
      <c r="O437" s="5" t="n">
        <v>23922.55</v>
      </c>
      <c r="P437" s="4" t="n"/>
      <c r="Q437" s="6" t="n">
        <v>0.834</v>
      </c>
      <c r="R437" s="6" t="n">
        <v>0.8341</v>
      </c>
    </row>
    <row r="438">
      <c r="A438" s="4" t="inlineStr">
        <is>
          <t>25-PC-40465</t>
        </is>
      </c>
      <c r="B438" s="4" t="inlineStr">
        <is>
          <t>Task Order 32: Copper Flats Solar Historic Resources Evaluation</t>
        </is>
      </c>
      <c r="C438" s="4" t="inlineStr">
        <is>
          <t>In Progress</t>
        </is>
      </c>
      <c r="D438" s="4" t="inlineStr">
        <is>
          <t>Fixed fee</t>
        </is>
      </c>
      <c r="E438" s="4" t="inlineStr">
        <is>
          <t>Sierra</t>
        </is>
      </c>
      <c r="F438" s="4" t="inlineStr">
        <is>
          <t>Benjamin Mathis</t>
        </is>
      </c>
      <c r="G438" s="5" t="n">
        <v>127600</v>
      </c>
      <c r="H438" s="5" t="n">
        <v>80860.12</v>
      </c>
      <c r="I438" s="5" t="n">
        <v>77042.86</v>
      </c>
      <c r="J438" s="5" t="n">
        <v>94627.42999999999</v>
      </c>
      <c r="K438" s="5" t="n">
        <v>86041.09</v>
      </c>
      <c r="L438" s="5" t="n">
        <v>8586.34</v>
      </c>
      <c r="M438" s="5" t="n">
        <v>59968.41</v>
      </c>
      <c r="N438" s="5" t="n">
        <v>34659.01999999999</v>
      </c>
      <c r="O438" s="5" t="n">
        <v>26072.67999999999</v>
      </c>
      <c r="P438" s="4" t="n"/>
      <c r="Q438" s="6" t="n">
        <v>0.634</v>
      </c>
      <c r="R438" s="6" t="n">
        <v>0.6337</v>
      </c>
    </row>
    <row r="439">
      <c r="A439" s="4" t="inlineStr">
        <is>
          <t>25-PC-40482</t>
        </is>
      </c>
      <c r="B439" s="4" t="inlineStr">
        <is>
          <t>Task Order 33: Tamarack Cell Tower Cultural Resources Assessment</t>
        </is>
      </c>
      <c r="C439" s="4" t="inlineStr">
        <is>
          <t>In Progress</t>
        </is>
      </c>
      <c r="D439" s="4" t="inlineStr">
        <is>
          <t>Fixed fee</t>
        </is>
      </c>
      <c r="E439" s="4" t="inlineStr">
        <is>
          <t>Sierra South</t>
        </is>
      </c>
      <c r="F439" s="4" t="inlineStr">
        <is>
          <t>Louis Huff</t>
        </is>
      </c>
      <c r="G439" s="5" t="n">
        <v>73200</v>
      </c>
      <c r="H439" s="5" t="n">
        <v>32705.76</v>
      </c>
      <c r="I439" s="5" t="n">
        <v>32090.81</v>
      </c>
      <c r="J439" s="5" t="n">
        <v>60199.68</v>
      </c>
      <c r="K439" s="5" t="n">
        <v>60199.68</v>
      </c>
      <c r="L439" s="5" t="n">
        <v>0</v>
      </c>
      <c r="M439" s="5" t="n">
        <v>26897</v>
      </c>
      <c r="N439" s="5" t="n">
        <v>33302.68</v>
      </c>
      <c r="O439" s="5" t="n">
        <v>33302.68</v>
      </c>
      <c r="P439" s="4" t="n"/>
      <c r="Q439" s="6" t="n">
        <v>0.447</v>
      </c>
      <c r="R439" s="6" t="n">
        <v>0.4468</v>
      </c>
    </row>
    <row r="440">
      <c r="A440" s="4" t="inlineStr">
        <is>
          <t>25-PC-40503</t>
        </is>
      </c>
      <c r="B440" s="4" t="inlineStr">
        <is>
          <t>Copper Flats Phase I Survey</t>
        </is>
      </c>
      <c r="C440" s="4" t="inlineStr">
        <is>
          <t>Lab/Curation</t>
        </is>
      </c>
      <c r="D440" s="4" t="inlineStr">
        <is>
          <t>Time and material</t>
        </is>
      </c>
      <c r="E440" s="4" t="inlineStr">
        <is>
          <t>Sierra</t>
        </is>
      </c>
      <c r="F440" s="4" t="inlineStr">
        <is>
          <t>Benjamin Mathis</t>
        </is>
      </c>
      <c r="G440" s="5" t="n">
        <v>43400</v>
      </c>
      <c r="H440" s="5" t="n">
        <v>43400</v>
      </c>
      <c r="I440" s="5" t="n">
        <v>43400</v>
      </c>
      <c r="J440" s="5" t="n">
        <v>30119.6</v>
      </c>
      <c r="K440" s="5" t="n">
        <v>30119.6</v>
      </c>
      <c r="L440" s="5" t="n">
        <v>0</v>
      </c>
      <c r="M440" s="5" t="n">
        <v>42364.23</v>
      </c>
      <c r="N440" s="5" t="n">
        <v>-12244.63</v>
      </c>
      <c r="O440" s="5" t="n">
        <v>-12244.63</v>
      </c>
      <c r="P440" s="4" t="n"/>
      <c r="Q440" s="6" t="n">
        <v>1</v>
      </c>
      <c r="R440" s="6" t="n">
        <v>1.4065</v>
      </c>
    </row>
    <row r="441">
      <c r="A441" s="4" t="inlineStr">
        <is>
          <t>25-PC-40523</t>
        </is>
      </c>
      <c r="B441" s="4" t="inlineStr">
        <is>
          <t>On-Call: Oak Terrace Reservoir Section 106 Consultation</t>
        </is>
      </c>
      <c r="C441" s="4" t="inlineStr">
        <is>
          <t>In Progress</t>
        </is>
      </c>
      <c r="D441" s="4" t="inlineStr">
        <is>
          <t>Time and material</t>
        </is>
      </c>
      <c r="E441" s="4" t="inlineStr">
        <is>
          <t>Sierra</t>
        </is>
      </c>
      <c r="F441" s="4" t="inlineStr">
        <is>
          <t>Donna Herring</t>
        </is>
      </c>
      <c r="G441" s="5" t="n">
        <v>71000</v>
      </c>
      <c r="H441" s="5" t="n">
        <v>71000</v>
      </c>
      <c r="I441" s="5" t="n">
        <v>67104.25</v>
      </c>
      <c r="J441" s="5" t="n">
        <v>49579.3</v>
      </c>
      <c r="K441" s="5" t="n">
        <v>49579.3</v>
      </c>
      <c r="L441" s="5" t="n">
        <v>0</v>
      </c>
      <c r="M441" s="5" t="n">
        <v>76399.60000000001</v>
      </c>
      <c r="N441" s="5" t="n">
        <v>-26820.3</v>
      </c>
      <c r="O441" s="5" t="n">
        <v>-26820.3</v>
      </c>
      <c r="P441" s="4" t="n"/>
      <c r="Q441" s="6" t="n">
        <v>1</v>
      </c>
      <c r="R441" s="6" t="n">
        <v>1.541</v>
      </c>
    </row>
    <row r="442">
      <c r="A442" s="4" t="inlineStr">
        <is>
          <t>25-PC-40541</t>
        </is>
      </c>
      <c r="B442" s="4" t="inlineStr">
        <is>
          <t>Eagle Bend Airport Apron - Archaeological Testing</t>
        </is>
      </c>
      <c r="C442" s="4" t="inlineStr">
        <is>
          <t>In Progress</t>
        </is>
      </c>
      <c r="D442" s="4" t="inlineStr">
        <is>
          <t>Fixed fee</t>
        </is>
      </c>
      <c r="E442" s="4" t="inlineStr">
        <is>
          <t>Sierra</t>
        </is>
      </c>
      <c r="F442" s="4" t="inlineStr">
        <is>
          <t>Louis Huff</t>
        </is>
      </c>
      <c r="G442" s="5" t="n">
        <v>25000</v>
      </c>
      <c r="H442" s="5" t="n">
        <v>16595</v>
      </c>
      <c r="I442" s="5" t="n">
        <v>16595</v>
      </c>
      <c r="J442" s="5" t="n">
        <v>16850</v>
      </c>
      <c r="K442" s="5" t="n">
        <v>16850</v>
      </c>
      <c r="L442" s="5" t="n">
        <v>0</v>
      </c>
      <c r="M442" s="5" t="n">
        <v>11185.54</v>
      </c>
      <c r="N442" s="5" t="n">
        <v>5664.459999999999</v>
      </c>
      <c r="O442" s="5" t="n">
        <v>5664.459999999999</v>
      </c>
      <c r="P442" s="4" t="n"/>
      <c r="Q442" s="6" t="n">
        <v>0.664</v>
      </c>
      <c r="R442" s="6" t="n">
        <v>0.6637999999999999</v>
      </c>
    </row>
    <row r="443">
      <c r="A443" s="4" t="inlineStr">
        <is>
          <t>25-PC-40572</t>
        </is>
      </c>
      <c r="B443" s="4" t="inlineStr">
        <is>
          <t>Maple Fork Cell Tower Environmental Review Support</t>
        </is>
      </c>
      <c r="C443" s="4" t="inlineStr">
        <is>
          <t>In Progress</t>
        </is>
      </c>
      <c r="D443" s="4" t="inlineStr">
        <is>
          <t>Fixed fee</t>
        </is>
      </c>
      <c r="E443" s="4" t="inlineStr">
        <is>
          <t>Sierra</t>
        </is>
      </c>
      <c r="F443" s="4" t="inlineStr">
        <is>
          <t>Benjamin Mathis</t>
        </is>
      </c>
      <c r="G443" s="5" t="n">
        <v>88300</v>
      </c>
      <c r="H443" s="5" t="n">
        <v>34887.33</v>
      </c>
      <c r="I443" s="5" t="n">
        <v>34769.84</v>
      </c>
      <c r="J443" s="5" t="n">
        <v>67293.42999999999</v>
      </c>
      <c r="K443" s="5" t="n">
        <v>67293.42999999999</v>
      </c>
      <c r="L443" s="5" t="n">
        <v>0</v>
      </c>
      <c r="M443" s="5" t="n">
        <v>26589.42</v>
      </c>
      <c r="N443" s="5" t="n">
        <v>40704.00999999999</v>
      </c>
      <c r="O443" s="5" t="n">
        <v>40704.00999999999</v>
      </c>
      <c r="P443" s="4" t="n"/>
      <c r="Q443" s="6" t="n">
        <v>0.395</v>
      </c>
      <c r="R443" s="6" t="n">
        <v>0.3951</v>
      </c>
    </row>
    <row r="444">
      <c r="A444" s="4" t="inlineStr">
        <is>
          <t>25-PC-40595</t>
        </is>
      </c>
      <c r="B444" s="4" t="inlineStr">
        <is>
          <t>Willow Springs Levee Repair - Built Environment Survey</t>
        </is>
      </c>
      <c r="C444" s="4" t="inlineStr">
        <is>
          <t>Final Reporting/Review</t>
        </is>
      </c>
      <c r="D444" s="4" t="inlineStr">
        <is>
          <t>Fixed fee</t>
        </is>
      </c>
      <c r="E444" s="4" t="inlineStr">
        <is>
          <t>Sierra South</t>
        </is>
      </c>
      <c r="F444" s="4" t="inlineStr">
        <is>
          <t>Angelica Poole</t>
        </is>
      </c>
      <c r="G444" s="5" t="n">
        <v>1568300</v>
      </c>
      <c r="H444" s="5" t="n">
        <v>611950.66</v>
      </c>
      <c r="I444" s="5" t="n">
        <v>594232.15</v>
      </c>
      <c r="J444" s="5" t="n">
        <v>1302159.49</v>
      </c>
      <c r="K444" s="5" t="n">
        <v>1302159.49</v>
      </c>
      <c r="L444" s="5" t="n">
        <v>0</v>
      </c>
      <c r="M444" s="5" t="n">
        <v>508068.66</v>
      </c>
      <c r="N444" s="5" t="n">
        <v>794090.8300000001</v>
      </c>
      <c r="O444" s="5" t="n">
        <v>794090.8300000001</v>
      </c>
      <c r="P444" s="4" t="n"/>
      <c r="Q444" s="6" t="n">
        <v>0.39</v>
      </c>
      <c r="R444" s="6" t="n">
        <v>0.3902</v>
      </c>
    </row>
    <row r="445">
      <c r="A445" s="4" t="inlineStr">
        <is>
          <t>25-PC-40677</t>
        </is>
      </c>
      <c r="B445" s="4" t="inlineStr">
        <is>
          <t>Quail Run Paleontological Monitoring</t>
        </is>
      </c>
      <c r="C445" s="4" t="inlineStr">
        <is>
          <t>Transferred Entity</t>
        </is>
      </c>
      <c r="D445" s="4" t="inlineStr">
        <is>
          <t>Time and material</t>
        </is>
      </c>
      <c r="E445" s="4" t="inlineStr">
        <is>
          <t>Sierra South</t>
        </is>
      </c>
      <c r="F445" s="4" t="inlineStr">
        <is>
          <t>Louis Huff</t>
        </is>
      </c>
      <c r="G445" s="5" t="n">
        <v>225000</v>
      </c>
      <c r="H445" s="5" t="n">
        <v>192903.25</v>
      </c>
      <c r="I445" s="5" t="n">
        <v>192903.25</v>
      </c>
      <c r="J445" s="5" t="n">
        <v>157612.5</v>
      </c>
      <c r="K445" s="5" t="n">
        <v>157612.5</v>
      </c>
      <c r="L445" s="5" t="n">
        <v>0</v>
      </c>
      <c r="M445" s="5" t="n">
        <v>153698.04</v>
      </c>
      <c r="N445" s="5" t="n">
        <v>3914.459999999992</v>
      </c>
      <c r="O445" s="5" t="n">
        <v>3914.459999999992</v>
      </c>
      <c r="P445" s="4" t="n"/>
      <c r="Q445" s="6" t="n">
        <v>0.857</v>
      </c>
      <c r="R445" s="6" t="n">
        <v>0.9752</v>
      </c>
    </row>
    <row r="446">
      <c r="A446" s="4" t="inlineStr">
        <is>
          <t>25-PC-40680</t>
        </is>
      </c>
      <c r="B446" s="4" t="inlineStr">
        <is>
          <t>On-Call: Eagle Bend Battery Storage Cultural Resources Assessment</t>
        </is>
      </c>
      <c r="C446" s="4" t="inlineStr">
        <is>
          <t>Lab/Curation</t>
        </is>
      </c>
      <c r="D446" s="4" t="inlineStr">
        <is>
          <t>Time and material</t>
        </is>
      </c>
      <c r="E446" s="4" t="inlineStr">
        <is>
          <t>Sierra</t>
        </is>
      </c>
      <c r="F446" s="4" t="inlineStr">
        <is>
          <t>Donna Herring</t>
        </is>
      </c>
      <c r="G446" s="5" t="n">
        <v>10100</v>
      </c>
      <c r="H446" s="5" t="n">
        <v>8386.75</v>
      </c>
      <c r="I446" s="5" t="n">
        <v>8386.75</v>
      </c>
      <c r="J446" s="5" t="n">
        <v>6706.4</v>
      </c>
      <c r="K446" s="5" t="n">
        <v>6706.4</v>
      </c>
      <c r="L446" s="5" t="n">
        <v>0</v>
      </c>
      <c r="M446" s="5" t="n">
        <v>5628.16</v>
      </c>
      <c r="N446" s="5" t="n">
        <v>1078.24</v>
      </c>
      <c r="O446" s="5" t="n">
        <v>1078.24</v>
      </c>
      <c r="P446" s="4" t="n"/>
      <c r="Q446" s="6" t="n">
        <v>0.83</v>
      </c>
      <c r="R446" s="6" t="n">
        <v>0.8391999999999999</v>
      </c>
    </row>
    <row r="447">
      <c r="A447" s="4" t="inlineStr">
        <is>
          <t>25-PC-40722</t>
        </is>
      </c>
      <c r="B447" s="4" t="inlineStr">
        <is>
          <t>Goldfinch Canal Lining - Archaeological Testing</t>
        </is>
      </c>
      <c r="C447" s="4" t="inlineStr">
        <is>
          <t>In Progress</t>
        </is>
      </c>
      <c r="D447" s="4" t="inlineStr">
        <is>
          <t>Time and material</t>
        </is>
      </c>
      <c r="E447" s="4" t="inlineStr">
        <is>
          <t>Coastal Bend</t>
        </is>
      </c>
      <c r="F447" s="4" t="inlineStr">
        <is>
          <t>Duane Ballard</t>
        </is>
      </c>
      <c r="G447" s="5" t="n">
        <v>166600</v>
      </c>
      <c r="H447" s="5" t="n">
        <v>128119.75</v>
      </c>
      <c r="I447" s="5" t="n">
        <v>128119.75</v>
      </c>
      <c r="J447" s="5" t="n">
        <v>119491.23</v>
      </c>
      <c r="K447" s="5" t="n">
        <v>103318.2</v>
      </c>
      <c r="L447" s="5" t="n">
        <v>16173.03</v>
      </c>
      <c r="M447" s="5" t="n">
        <v>80423</v>
      </c>
      <c r="N447" s="5" t="n">
        <v>39068.23</v>
      </c>
      <c r="O447" s="5" t="n">
        <v>22895.2</v>
      </c>
      <c r="P447" s="4" t="n"/>
      <c r="Q447" s="6" t="n">
        <v>0.769</v>
      </c>
      <c r="R447" s="6" t="n">
        <v>0.673</v>
      </c>
    </row>
    <row r="448">
      <c r="A448" s="4" t="inlineStr">
        <is>
          <t>25-PC-40810</t>
        </is>
      </c>
      <c r="B448" s="4" t="inlineStr">
        <is>
          <t>Goldfinch Mine Expansion Archaeological Testing</t>
        </is>
      </c>
      <c r="C448" s="4" t="inlineStr">
        <is>
          <t>Transferred Entity</t>
        </is>
      </c>
      <c r="D448" s="4" t="inlineStr">
        <is>
          <t>Fixed fee</t>
        </is>
      </c>
      <c r="E448" s="4" t="inlineStr">
        <is>
          <t>Coastal Bend</t>
        </is>
      </c>
      <c r="F448" s="4" t="inlineStr">
        <is>
          <t>Duane Ballard</t>
        </is>
      </c>
      <c r="G448" s="5" t="n">
        <v>50100</v>
      </c>
      <c r="H448" s="5" t="n">
        <v>50100</v>
      </c>
      <c r="I448" s="5" t="n">
        <v>47994.45</v>
      </c>
      <c r="J448" s="5" t="n">
        <v>34844.55</v>
      </c>
      <c r="K448" s="5" t="n">
        <v>34844.55</v>
      </c>
      <c r="L448" s="5" t="n">
        <v>0</v>
      </c>
      <c r="M448" s="5" t="n">
        <v>37556.22</v>
      </c>
      <c r="N448" s="5" t="n">
        <v>-2711.669999999998</v>
      </c>
      <c r="O448" s="5" t="n">
        <v>-2711.669999999998</v>
      </c>
      <c r="P448" s="4" t="n"/>
      <c r="Q448" s="6" t="n">
        <v>1</v>
      </c>
      <c r="R448" s="6" t="n">
        <v>1.0778</v>
      </c>
    </row>
    <row r="449">
      <c r="A449" s="4" t="inlineStr">
        <is>
          <t>25-PC-40847</t>
        </is>
      </c>
      <c r="B449" s="4" t="inlineStr">
        <is>
          <t>Quail Run Harbor Dredging - Built Environment Survey</t>
        </is>
      </c>
      <c r="C449" s="4" t="inlineStr">
        <is>
          <t>Final Reporting/Review</t>
        </is>
      </c>
      <c r="D449" s="4" t="inlineStr">
        <is>
          <t>Fixed fee</t>
        </is>
      </c>
      <c r="E449" s="4" t="inlineStr">
        <is>
          <t>Coastal Bend</t>
        </is>
      </c>
      <c r="F449" s="4" t="inlineStr">
        <is>
          <t>Jared Choi</t>
        </is>
      </c>
      <c r="G449" s="5" t="n">
        <v>46800</v>
      </c>
      <c r="H449" s="5" t="n">
        <v>46800</v>
      </c>
      <c r="I449" s="5" t="n">
        <v>46800</v>
      </c>
      <c r="J449" s="5" t="n">
        <v>34243.56</v>
      </c>
      <c r="K449" s="5" t="n">
        <v>34243.56</v>
      </c>
      <c r="L449" s="5" t="n">
        <v>0</v>
      </c>
      <c r="M449" s="5" t="n">
        <v>37494.89</v>
      </c>
      <c r="N449" s="5" t="n">
        <v>-3251.330000000002</v>
      </c>
      <c r="O449" s="5" t="n">
        <v>-3251.330000000002</v>
      </c>
      <c r="P449" s="4" t="n"/>
      <c r="Q449" s="6" t="n">
        <v>1</v>
      </c>
      <c r="R449" s="6" t="n">
        <v>1.0949</v>
      </c>
    </row>
    <row r="450">
      <c r="A450" s="4" t="inlineStr">
        <is>
          <t>25-PC-40880</t>
        </is>
      </c>
      <c r="B450" s="4" t="inlineStr">
        <is>
          <t>Pebble Beach Road Bridge Replacement Cultural Resources Assessment</t>
        </is>
      </c>
      <c r="C450" s="4" t="inlineStr">
        <is>
          <t>In Progress</t>
        </is>
      </c>
      <c r="D450" s="4" t="inlineStr">
        <is>
          <t>Time and material</t>
        </is>
      </c>
      <c r="E450" s="4" t="inlineStr">
        <is>
          <t>Coastal Bend</t>
        </is>
      </c>
      <c r="F450" s="4" t="inlineStr">
        <is>
          <t>Diane Daniels</t>
        </is>
      </c>
      <c r="G450" s="5" t="n">
        <v>45800</v>
      </c>
      <c r="H450" s="5" t="n">
        <v>28954.35</v>
      </c>
      <c r="I450" s="5" t="n">
        <v>26615.83</v>
      </c>
      <c r="J450" s="5" t="n">
        <v>30347.08</v>
      </c>
      <c r="K450" s="5" t="n">
        <v>30347.08</v>
      </c>
      <c r="L450" s="5" t="n">
        <v>0</v>
      </c>
      <c r="M450" s="5" t="n">
        <v>18281.09</v>
      </c>
      <c r="N450" s="5" t="n">
        <v>12065.99</v>
      </c>
      <c r="O450" s="5" t="n">
        <v>12065.99</v>
      </c>
      <c r="P450" s="4" t="n"/>
      <c r="Q450" s="6" t="n">
        <v>0.632</v>
      </c>
      <c r="R450" s="6" t="n">
        <v>0.6024</v>
      </c>
    </row>
    <row r="451">
      <c r="A451" s="4" t="inlineStr">
        <is>
          <t>25-PC-40925</t>
        </is>
      </c>
      <c r="B451" s="4" t="inlineStr">
        <is>
          <t>Harbor View Airport Apron - Data Recovery</t>
        </is>
      </c>
      <c r="C451" s="4" t="inlineStr">
        <is>
          <t>Final Reporting/Review</t>
        </is>
      </c>
      <c r="D451" s="4" t="inlineStr">
        <is>
          <t>Time and material</t>
        </is>
      </c>
      <c r="E451" s="4" t="inlineStr">
        <is>
          <t>Coastal Bend</t>
        </is>
      </c>
      <c r="F451" s="4" t="inlineStr">
        <is>
          <t>Alexis Nixon</t>
        </is>
      </c>
      <c r="G451" s="5" t="n">
        <v>35000</v>
      </c>
      <c r="H451" s="5" t="n">
        <v>23800</v>
      </c>
      <c r="I451" s="5" t="n">
        <v>23800</v>
      </c>
      <c r="J451" s="5" t="n">
        <v>23562</v>
      </c>
      <c r="K451" s="5" t="n">
        <v>23562</v>
      </c>
      <c r="L451" s="5" t="n">
        <v>0</v>
      </c>
      <c r="M451" s="5" t="n">
        <v>20240.75</v>
      </c>
      <c r="N451" s="5" t="n">
        <v>3321.25</v>
      </c>
      <c r="O451" s="5" t="n">
        <v>3321.25</v>
      </c>
      <c r="P451" s="4" t="n"/>
      <c r="Q451" s="6" t="n">
        <v>0.68</v>
      </c>
      <c r="R451" s="6" t="n">
        <v>0.859</v>
      </c>
    </row>
    <row r="452">
      <c r="A452" s="4" t="inlineStr">
        <is>
          <t>25-PC-41075</t>
        </is>
      </c>
      <c r="B452" s="4" t="inlineStr">
        <is>
          <t>Phase I: Cedar Hollow Airport Apron Archaeological Testing</t>
        </is>
      </c>
      <c r="C452" s="4" t="inlineStr">
        <is>
          <t>In Progress</t>
        </is>
      </c>
      <c r="D452" s="4" t="inlineStr">
        <is>
          <t>Fixed fee</t>
        </is>
      </c>
      <c r="E452" s="4" t="inlineStr">
        <is>
          <t>Coastal Bend</t>
        </is>
      </c>
      <c r="F452" s="4" t="inlineStr">
        <is>
          <t>Duane Ballard</t>
        </is>
      </c>
      <c r="G452" s="5" t="n">
        <v>82100</v>
      </c>
      <c r="H452" s="5" t="n">
        <v>46534.28</v>
      </c>
      <c r="I452" s="5" t="n">
        <v>45582.42</v>
      </c>
      <c r="J452" s="5" t="n">
        <v>61304.07</v>
      </c>
      <c r="K452" s="5" t="n">
        <v>61304.07</v>
      </c>
      <c r="L452" s="5" t="n">
        <v>0</v>
      </c>
      <c r="M452" s="5" t="n">
        <v>34747.46</v>
      </c>
      <c r="N452" s="5" t="n">
        <v>26556.61</v>
      </c>
      <c r="O452" s="5" t="n">
        <v>26556.61</v>
      </c>
      <c r="P452" s="4" t="n"/>
      <c r="Q452" s="6" t="n">
        <v>0.5669999999999999</v>
      </c>
      <c r="R452" s="6" t="n">
        <v>0.5668</v>
      </c>
    </row>
    <row r="453">
      <c r="A453" s="4" t="inlineStr">
        <is>
          <t>25-PC-41097</t>
        </is>
      </c>
      <c r="B453" s="4" t="inlineStr">
        <is>
          <t>On-Call: Falcon Mesa Wastewater Plant Phase II Testing</t>
        </is>
      </c>
      <c r="C453" s="4" t="inlineStr">
        <is>
          <t>Final Reporting/Review</t>
        </is>
      </c>
      <c r="D453" s="4" t="inlineStr">
        <is>
          <t>Time and material</t>
        </is>
      </c>
      <c r="E453" s="4" t="inlineStr">
        <is>
          <t>Coastal Bend</t>
        </is>
      </c>
      <c r="F453" s="4" t="inlineStr">
        <is>
          <t>Duane Ballard</t>
        </is>
      </c>
      <c r="G453" s="5" t="n">
        <v>197800</v>
      </c>
      <c r="H453" s="5" t="n">
        <v>157477.05</v>
      </c>
      <c r="I453" s="5" t="n">
        <v>151428.7</v>
      </c>
      <c r="J453" s="5" t="n">
        <v>128154.62</v>
      </c>
      <c r="K453" s="5" t="n">
        <v>128154.62</v>
      </c>
      <c r="L453" s="5" t="n">
        <v>0</v>
      </c>
      <c r="M453" s="5" t="n">
        <v>105966.35</v>
      </c>
      <c r="N453" s="5" t="n">
        <v>22188.26999999999</v>
      </c>
      <c r="O453" s="5" t="n">
        <v>22188.26999999999</v>
      </c>
      <c r="P453" s="4" t="n"/>
      <c r="Q453" s="6" t="n">
        <v>0.796</v>
      </c>
      <c r="R453" s="6" t="n">
        <v>0.8269</v>
      </c>
    </row>
    <row r="454">
      <c r="A454" s="4" t="inlineStr">
        <is>
          <t>25-PC-41187</t>
        </is>
      </c>
      <c r="B454" s="4" t="inlineStr">
        <is>
          <t>Hackberry Bend Trail GIS Mapping</t>
        </is>
      </c>
      <c r="C454" s="4" t="inlineStr">
        <is>
          <t>In Progress</t>
        </is>
      </c>
      <c r="D454" s="4" t="inlineStr">
        <is>
          <t>Fixed fee</t>
        </is>
      </c>
      <c r="E454" s="4" t="inlineStr">
        <is>
          <t>Coastal Bend</t>
        </is>
      </c>
      <c r="F454" s="4" t="inlineStr">
        <is>
          <t>Diane Daniels</t>
        </is>
      </c>
      <c r="G454" s="5" t="n">
        <v>98900</v>
      </c>
      <c r="H454" s="5" t="n">
        <v>75510.14999999999</v>
      </c>
      <c r="I454" s="5" t="n">
        <v>72782.09</v>
      </c>
      <c r="J454" s="5" t="n">
        <v>55621.36</v>
      </c>
      <c r="K454" s="5" t="n">
        <v>55621.36</v>
      </c>
      <c r="L454" s="5" t="n">
        <v>0</v>
      </c>
      <c r="M454" s="5" t="n">
        <v>42469.63</v>
      </c>
      <c r="N454" s="5" t="n">
        <v>13151.73</v>
      </c>
      <c r="O454" s="5" t="n">
        <v>13151.73</v>
      </c>
      <c r="P454" s="4" t="n"/>
      <c r="Q454" s="6" t="n">
        <v>0.763</v>
      </c>
      <c r="R454" s="6" t="n">
        <v>0.7635</v>
      </c>
    </row>
    <row r="455">
      <c r="A455" s="4" t="inlineStr">
        <is>
          <t>25-PC-41252</t>
        </is>
      </c>
      <c r="B455" s="4" t="inlineStr">
        <is>
          <t>Oak Terrace Wastewater Plant Curation</t>
        </is>
      </c>
      <c r="C455" s="4" t="inlineStr">
        <is>
          <t>Final Reporting/Review</t>
        </is>
      </c>
      <c r="D455" s="4" t="inlineStr">
        <is>
          <t>Fixed fee</t>
        </is>
      </c>
      <c r="E455" s="4" t="inlineStr">
        <is>
          <t>Coastal Bend</t>
        </is>
      </c>
      <c r="F455" s="4" t="inlineStr">
        <is>
          <t>Steve Rubio</t>
        </is>
      </c>
      <c r="G455" s="5" t="n">
        <v>33000</v>
      </c>
      <c r="H455" s="5" t="n">
        <v>30736.2</v>
      </c>
      <c r="I455" s="5" t="n">
        <v>30524.42</v>
      </c>
      <c r="J455" s="5" t="n">
        <v>25325</v>
      </c>
      <c r="K455" s="5" t="n">
        <v>22089.27</v>
      </c>
      <c r="L455" s="5" t="n">
        <v>3235.73</v>
      </c>
      <c r="M455" s="5" t="n">
        <v>23587.72</v>
      </c>
      <c r="N455" s="5" t="n">
        <v>1737.279999999999</v>
      </c>
      <c r="O455" s="5" t="n">
        <v>-1498.450000000001</v>
      </c>
      <c r="P455" s="4" t="n"/>
      <c r="Q455" s="6" t="n">
        <v>0.931</v>
      </c>
      <c r="R455" s="6" t="n">
        <v>0.9314</v>
      </c>
    </row>
    <row r="456">
      <c r="A456" s="4" t="inlineStr">
        <is>
          <t>25-PC-41265</t>
        </is>
      </c>
      <c r="B456" s="4" t="inlineStr">
        <is>
          <t>Larkspur Class III Survey</t>
        </is>
      </c>
      <c r="C456" s="4" t="inlineStr">
        <is>
          <t>Cost Tracking on Closed Project</t>
        </is>
      </c>
      <c r="D456" s="4" t="inlineStr">
        <is>
          <t>Fixed fee</t>
        </is>
      </c>
      <c r="E456" s="4" t="inlineStr">
        <is>
          <t>Coastal Bend</t>
        </is>
      </c>
      <c r="F456" s="4" t="inlineStr">
        <is>
          <t>Diane Daniels</t>
        </is>
      </c>
      <c r="G456" s="5" t="n">
        <v>89800</v>
      </c>
      <c r="H456" s="5" t="n">
        <v>85318.98</v>
      </c>
      <c r="I456" s="5" t="n">
        <v>85318.98</v>
      </c>
      <c r="J456" s="5" t="n">
        <v>71911.84</v>
      </c>
      <c r="K456" s="5" t="n">
        <v>71911.84</v>
      </c>
      <c r="L456" s="5" t="n">
        <v>0</v>
      </c>
      <c r="M456" s="5" t="n">
        <v>68323.14</v>
      </c>
      <c r="N456" s="5" t="n">
        <v>3588.699999999997</v>
      </c>
      <c r="O456" s="5" t="n">
        <v>3588.699999999997</v>
      </c>
      <c r="P456" s="4" t="n"/>
      <c r="Q456" s="6" t="n">
        <v>0.95</v>
      </c>
      <c r="R456" s="6" t="n">
        <v>0.9500999999999999</v>
      </c>
    </row>
    <row r="457">
      <c r="A457" s="4" t="inlineStr">
        <is>
          <t>25-PC-41341</t>
        </is>
      </c>
      <c r="B457" s="4" t="inlineStr">
        <is>
          <t>Phase II: Coyote Springs Highway Widening Curation</t>
        </is>
      </c>
      <c r="C457" s="4" t="inlineStr">
        <is>
          <t>In Progress</t>
        </is>
      </c>
      <c r="D457" s="4" t="inlineStr">
        <is>
          <t>Fixed fee</t>
        </is>
      </c>
      <c r="E457" s="4" t="inlineStr">
        <is>
          <t>Coastal Bend</t>
        </is>
      </c>
      <c r="F457" s="4" t="inlineStr">
        <is>
          <t>Diane Daniels</t>
        </is>
      </c>
      <c r="G457" s="5" t="n">
        <v>167900</v>
      </c>
      <c r="H457" s="5" t="n">
        <v>133782.72</v>
      </c>
      <c r="I457" s="5" t="n">
        <v>130782.09</v>
      </c>
      <c r="J457" s="5" t="n">
        <v>131616.81</v>
      </c>
      <c r="K457" s="5" t="n">
        <v>131616.81</v>
      </c>
      <c r="L457" s="5" t="n">
        <v>0</v>
      </c>
      <c r="M457" s="5" t="n">
        <v>104866.5</v>
      </c>
      <c r="N457" s="5" t="n">
        <v>26750.31</v>
      </c>
      <c r="O457" s="5" t="n">
        <v>26750.31</v>
      </c>
      <c r="P457" s="4" t="n"/>
      <c r="Q457" s="6" t="n">
        <v>0.797</v>
      </c>
      <c r="R457" s="6" t="n">
        <v>0.7968</v>
      </c>
    </row>
    <row r="458">
      <c r="A458" s="4" t="inlineStr">
        <is>
          <t>25-PC-41383</t>
        </is>
      </c>
      <c r="B458" s="4" t="inlineStr">
        <is>
          <t>Harbor View Reservoir - Cultural Resources Assessment</t>
        </is>
      </c>
      <c r="C458" s="4" t="inlineStr">
        <is>
          <t>In Progress</t>
        </is>
      </c>
      <c r="D458" s="4" t="inlineStr">
        <is>
          <t>Fixed fee</t>
        </is>
      </c>
      <c r="E458" s="4" t="inlineStr">
        <is>
          <t>Coastal Bend</t>
        </is>
      </c>
      <c r="F458" s="4" t="inlineStr">
        <is>
          <t>Steve Rubio</t>
        </is>
      </c>
      <c r="G458" s="5" t="n">
        <v>342200</v>
      </c>
      <c r="H458" s="5" t="n">
        <v>263870.42</v>
      </c>
      <c r="I458" s="5" t="n">
        <v>263870.42</v>
      </c>
      <c r="J458" s="5" t="n">
        <v>223902.7</v>
      </c>
      <c r="K458" s="5" t="n">
        <v>185978.46</v>
      </c>
      <c r="L458" s="5" t="n">
        <v>37924.24</v>
      </c>
      <c r="M458" s="5" t="n">
        <v>172645.04</v>
      </c>
      <c r="N458" s="5" t="n">
        <v>51257.66</v>
      </c>
      <c r="O458" s="5" t="n">
        <v>13333.41999999998</v>
      </c>
      <c r="P458" s="4" t="n"/>
      <c r="Q458" s="6" t="n">
        <v>0.771</v>
      </c>
      <c r="R458" s="6" t="n">
        <v>0.7711</v>
      </c>
    </row>
    <row r="459">
      <c r="A459" s="4" t="inlineStr">
        <is>
          <t>25-PC-41385</t>
        </is>
      </c>
      <c r="B459" s="4" t="inlineStr">
        <is>
          <t>Tamarack Levee Repair - Historic Resources Evaluation</t>
        </is>
      </c>
      <c r="C459" s="4" t="inlineStr">
        <is>
          <t>In Progress</t>
        </is>
      </c>
      <c r="D459" s="4" t="inlineStr">
        <is>
          <t>Fixed fee</t>
        </is>
      </c>
      <c r="E459" s="4" t="inlineStr">
        <is>
          <t>Coastal Bend</t>
        </is>
      </c>
      <c r="F459" s="4" t="inlineStr">
        <is>
          <t>Diane Daniels</t>
        </is>
      </c>
      <c r="G459" s="5" t="n">
        <v>179800</v>
      </c>
      <c r="H459" s="5" t="n">
        <v>179800</v>
      </c>
      <c r="I459" s="5" t="n">
        <v>170811.36</v>
      </c>
      <c r="J459" s="5" t="n">
        <v>119171.44</v>
      </c>
      <c r="K459" s="5" t="n">
        <v>119171.44</v>
      </c>
      <c r="L459" s="5" t="n">
        <v>0</v>
      </c>
      <c r="M459" s="5" t="n">
        <v>171055.95</v>
      </c>
      <c r="N459" s="5" t="n">
        <v>-51884.51000000001</v>
      </c>
      <c r="O459" s="5" t="n">
        <v>-51884.51000000001</v>
      </c>
      <c r="P459" s="4" t="n"/>
      <c r="Q459" s="6" t="n">
        <v>1</v>
      </c>
      <c r="R459" s="6" t="n">
        <v>1.4354</v>
      </c>
    </row>
    <row r="460">
      <c r="A460" s="4" t="inlineStr">
        <is>
          <t>25-PC-41479</t>
        </is>
      </c>
      <c r="B460" s="4" t="inlineStr">
        <is>
          <t>Hawk Point Trail Maritime Remote Sensing Survey</t>
        </is>
      </c>
      <c r="C460" s="4" t="inlineStr">
        <is>
          <t>In Progress</t>
        </is>
      </c>
      <c r="D460" s="4" t="inlineStr">
        <is>
          <t>Fixed fee</t>
        </is>
      </c>
      <c r="E460" s="4" t="inlineStr">
        <is>
          <t>Coastal Bend</t>
        </is>
      </c>
      <c r="F460" s="4" t="inlineStr">
        <is>
          <t>Diane Daniels</t>
        </is>
      </c>
      <c r="G460" s="5" t="n">
        <v>633600</v>
      </c>
      <c r="H460" s="5" t="n">
        <v>203892.48</v>
      </c>
      <c r="I460" s="5" t="n">
        <v>200991.35</v>
      </c>
      <c r="J460" s="5" t="n">
        <v>405123.84</v>
      </c>
      <c r="K460" s="5" t="n">
        <v>405123.84</v>
      </c>
      <c r="L460" s="5" t="n">
        <v>0</v>
      </c>
      <c r="M460" s="5" t="n">
        <v>130355.73</v>
      </c>
      <c r="N460" s="5" t="n">
        <v>274768.11</v>
      </c>
      <c r="O460" s="5" t="n">
        <v>274768.11</v>
      </c>
      <c r="P460" s="4" t="n"/>
      <c r="Q460" s="6" t="n">
        <v>0.322</v>
      </c>
      <c r="R460" s="6" t="n">
        <v>0.3218</v>
      </c>
    </row>
    <row r="461">
      <c r="A461" s="4" t="inlineStr">
        <is>
          <t>25-PC-41500</t>
        </is>
      </c>
      <c r="B461" s="4" t="inlineStr">
        <is>
          <t>Task Order 24: Elk Meadow Mixed-Use Development Historic Resources Evaluation</t>
        </is>
      </c>
      <c r="C461" s="4" t="inlineStr">
        <is>
          <t>In Progress</t>
        </is>
      </c>
      <c r="D461" s="4" t="inlineStr">
        <is>
          <t>Time and material</t>
        </is>
      </c>
      <c r="E461" s="4" t="inlineStr">
        <is>
          <t>Coastal Bend</t>
        </is>
      </c>
      <c r="F461" s="4" t="inlineStr">
        <is>
          <t>Jared Choi</t>
        </is>
      </c>
      <c r="G461" s="5" t="n">
        <v>130200</v>
      </c>
      <c r="H461" s="5" t="n">
        <v>121022.45</v>
      </c>
      <c r="I461" s="5" t="n">
        <v>121022.45</v>
      </c>
      <c r="J461" s="5" t="n">
        <v>94156.73</v>
      </c>
      <c r="K461" s="5" t="n">
        <v>81265.42</v>
      </c>
      <c r="L461" s="5" t="n">
        <v>12891.31</v>
      </c>
      <c r="M461" s="5" t="n">
        <v>105548.13</v>
      </c>
      <c r="N461" s="5" t="n">
        <v>-11391.40000000001</v>
      </c>
      <c r="O461" s="5" t="n">
        <v>-24282.71000000001</v>
      </c>
      <c r="P461" s="4" t="n"/>
      <c r="Q461" s="6" t="n">
        <v>0.93</v>
      </c>
      <c r="R461" s="6" t="n">
        <v>1.121</v>
      </c>
    </row>
    <row r="462">
      <c r="A462" s="4" t="inlineStr">
        <is>
          <t>25-PC-41514</t>
        </is>
      </c>
      <c r="B462" s="4" t="inlineStr">
        <is>
          <t>Lantern Bay Levee Repair Historic Resources Evaluation</t>
        </is>
      </c>
      <c r="C462" s="4" t="inlineStr">
        <is>
          <t>Final Reporting/Review</t>
        </is>
      </c>
      <c r="D462" s="4" t="inlineStr">
        <is>
          <t>Fixed fee</t>
        </is>
      </c>
      <c r="E462" s="4" t="inlineStr">
        <is>
          <t>Coastal Bend</t>
        </is>
      </c>
      <c r="F462" s="4" t="inlineStr">
        <is>
          <t>Duane Ballard</t>
        </is>
      </c>
      <c r="G462" s="5" t="n">
        <v>48700</v>
      </c>
      <c r="H462" s="5" t="n">
        <v>38575.27</v>
      </c>
      <c r="I462" s="5" t="n">
        <v>38543.24</v>
      </c>
      <c r="J462" s="5" t="n">
        <v>31123.36</v>
      </c>
      <c r="K462" s="5" t="n">
        <v>29237.6</v>
      </c>
      <c r="L462" s="5" t="n">
        <v>1885.76</v>
      </c>
      <c r="M462" s="5" t="n">
        <v>24653.59</v>
      </c>
      <c r="N462" s="5" t="n">
        <v>6469.77</v>
      </c>
      <c r="O462" s="5" t="n">
        <v>4584.009999999998</v>
      </c>
      <c r="P462" s="4" t="n"/>
      <c r="Q462" s="6" t="n">
        <v>0.792</v>
      </c>
      <c r="R462" s="6" t="n">
        <v>0.7921</v>
      </c>
    </row>
    <row r="463">
      <c r="A463" s="4" t="inlineStr">
        <is>
          <t>25-PC-41635</t>
        </is>
      </c>
      <c r="B463" s="4" t="inlineStr">
        <is>
          <t>Plover Cove Rail Siding GIS Mapping</t>
        </is>
      </c>
      <c r="C463" s="4" t="inlineStr">
        <is>
          <t>In Progress</t>
        </is>
      </c>
      <c r="D463" s="4" t="inlineStr">
        <is>
          <t>Time and material</t>
        </is>
      </c>
      <c r="E463" s="4" t="inlineStr">
        <is>
          <t>Coastal Bend</t>
        </is>
      </c>
      <c r="F463" s="4" t="inlineStr">
        <is>
          <t>Jared Choi</t>
        </is>
      </c>
      <c r="G463" s="5" t="n">
        <v>412300</v>
      </c>
      <c r="H463" s="5" t="n">
        <v>300806.95</v>
      </c>
      <c r="I463" s="5" t="n">
        <v>290386.6</v>
      </c>
      <c r="J463" s="5" t="n">
        <v>281889.51</v>
      </c>
      <c r="K463" s="5" t="n">
        <v>281889.51</v>
      </c>
      <c r="L463" s="5" t="n">
        <v>0</v>
      </c>
      <c r="M463" s="5" t="n">
        <v>224531.7</v>
      </c>
      <c r="N463" s="5" t="n">
        <v>57357.81</v>
      </c>
      <c r="O463" s="5" t="n">
        <v>57357.81</v>
      </c>
      <c r="P463" s="4" t="n"/>
      <c r="Q463" s="6" t="n">
        <v>0.73</v>
      </c>
      <c r="R463" s="6" t="n">
        <v>0.7965</v>
      </c>
    </row>
    <row r="464">
      <c r="A464" s="4" t="inlineStr">
        <is>
          <t>25-PC-41722</t>
        </is>
      </c>
      <c r="B464" s="4" t="inlineStr">
        <is>
          <t>Willow Springs Canal Lining Built Environment Survey</t>
        </is>
      </c>
      <c r="C464" s="4" t="inlineStr">
        <is>
          <t>In Progress</t>
        </is>
      </c>
      <c r="D464" s="4" t="inlineStr">
        <is>
          <t>Time and material</t>
        </is>
      </c>
      <c r="E464" s="4" t="inlineStr">
        <is>
          <t>Built Environment</t>
        </is>
      </c>
      <c r="F464" s="4" t="inlineStr">
        <is>
          <t>Jenny Wilkinson</t>
        </is>
      </c>
      <c r="G464" s="5" t="n">
        <v>152100</v>
      </c>
      <c r="H464" s="5" t="n">
        <v>112187.4</v>
      </c>
      <c r="I464" s="5" t="n">
        <v>112187.4</v>
      </c>
      <c r="J464" s="5" t="n">
        <v>108599.4</v>
      </c>
      <c r="K464" s="5" t="n">
        <v>108599.4</v>
      </c>
      <c r="L464" s="5" t="n">
        <v>0</v>
      </c>
      <c r="M464" s="5" t="n">
        <v>90984.66</v>
      </c>
      <c r="N464" s="5" t="n">
        <v>17614.73999999999</v>
      </c>
      <c r="O464" s="5" t="n">
        <v>17614.73999999999</v>
      </c>
      <c r="P464" s="4" t="n"/>
      <c r="Q464" s="6" t="n">
        <v>0.738</v>
      </c>
      <c r="R464" s="6" t="n">
        <v>0.8378</v>
      </c>
    </row>
    <row r="465">
      <c r="A465" s="4" t="inlineStr">
        <is>
          <t>25-PC-41764</t>
        </is>
      </c>
      <c r="B465" s="4" t="inlineStr">
        <is>
          <t>Stone Mill Environmental Review Support</t>
        </is>
      </c>
      <c r="C465" s="4" t="inlineStr">
        <is>
          <t>In Progress</t>
        </is>
      </c>
      <c r="D465" s="4" t="inlineStr">
        <is>
          <t>Time and material</t>
        </is>
      </c>
      <c r="E465" s="4" t="inlineStr">
        <is>
          <t>Built Environment</t>
        </is>
      </c>
      <c r="F465" s="4" t="inlineStr">
        <is>
          <t>Jenny Wilkinson</t>
        </is>
      </c>
      <c r="G465" s="5" t="n">
        <v>20700</v>
      </c>
      <c r="H465" s="5" t="n">
        <v>16684.25</v>
      </c>
      <c r="I465" s="5" t="n">
        <v>16684.25</v>
      </c>
      <c r="J465" s="5" t="n">
        <v>15642.78</v>
      </c>
      <c r="K465" s="5" t="n">
        <v>13328.34</v>
      </c>
      <c r="L465" s="5" t="n">
        <v>2314.44</v>
      </c>
      <c r="M465" s="5" t="n">
        <v>14549.83</v>
      </c>
      <c r="N465" s="5" t="n">
        <v>1092.950000000001</v>
      </c>
      <c r="O465" s="5" t="n">
        <v>-1221.49</v>
      </c>
      <c r="P465" s="4" t="n"/>
      <c r="Q465" s="6" t="n">
        <v>0.806</v>
      </c>
      <c r="R465" s="6" t="n">
        <v>0.9301</v>
      </c>
    </row>
    <row r="466">
      <c r="A466" s="4" t="inlineStr">
        <is>
          <t>25-PC-41834</t>
        </is>
      </c>
      <c r="B466" s="4" t="inlineStr">
        <is>
          <t>Pebble Beach Road Data Recovery</t>
        </is>
      </c>
      <c r="C466" s="4" t="inlineStr">
        <is>
          <t>In Progress</t>
        </is>
      </c>
      <c r="D466" s="4" t="inlineStr">
        <is>
          <t>Fixed fee</t>
        </is>
      </c>
      <c r="E466" s="4" t="inlineStr">
        <is>
          <t>Built Environment</t>
        </is>
      </c>
      <c r="F466" s="4" t="inlineStr">
        <is>
          <t>Rickey Salas</t>
        </is>
      </c>
      <c r="G466" s="5" t="n">
        <v>170100</v>
      </c>
      <c r="H466" s="5" t="n">
        <v>63736.47</v>
      </c>
      <c r="I466" s="5" t="n">
        <v>58480.85</v>
      </c>
      <c r="J466" s="5" t="n">
        <v>145401.48</v>
      </c>
      <c r="K466" s="5" t="n">
        <v>145401.48</v>
      </c>
      <c r="L466" s="5" t="n">
        <v>0</v>
      </c>
      <c r="M466" s="5" t="n">
        <v>54475.63</v>
      </c>
      <c r="N466" s="5" t="n">
        <v>90925.85000000001</v>
      </c>
      <c r="O466" s="5" t="n">
        <v>90925.85000000001</v>
      </c>
      <c r="P466" s="4" t="n"/>
      <c r="Q466" s="6" t="n">
        <v>0.375</v>
      </c>
      <c r="R466" s="6" t="n">
        <v>0.3747</v>
      </c>
    </row>
    <row r="467">
      <c r="A467" s="4" t="inlineStr">
        <is>
          <t>25-PC-41843</t>
        </is>
      </c>
      <c r="B467" s="4" t="inlineStr">
        <is>
          <t>Wren Hollow Rail Siding - Section 106 Consultation</t>
        </is>
      </c>
      <c r="C467" s="4" t="inlineStr">
        <is>
          <t>Final Reporting/Review</t>
        </is>
      </c>
      <c r="D467" s="4" t="inlineStr">
        <is>
          <t>Time and material</t>
        </is>
      </c>
      <c r="E467" s="4" t="inlineStr">
        <is>
          <t>Built Environment</t>
        </is>
      </c>
      <c r="F467" s="4" t="inlineStr">
        <is>
          <t>Jesse Maynard</t>
        </is>
      </c>
      <c r="G467" s="5" t="n">
        <v>54000</v>
      </c>
      <c r="H467" s="5" t="n">
        <v>36720</v>
      </c>
      <c r="I467" s="5" t="n">
        <v>36720</v>
      </c>
      <c r="J467" s="5" t="n">
        <v>35988.02</v>
      </c>
      <c r="K467" s="5" t="n">
        <v>26607.55</v>
      </c>
      <c r="L467" s="5" t="n">
        <v>9380.469999999999</v>
      </c>
      <c r="M467" s="5" t="n">
        <v>23655.15</v>
      </c>
      <c r="N467" s="5" t="n">
        <v>12332.87</v>
      </c>
      <c r="O467" s="5" t="n">
        <v>2952.399999999998</v>
      </c>
      <c r="P467" s="4" t="n"/>
      <c r="Q467" s="6" t="n">
        <v>0.68</v>
      </c>
      <c r="R467" s="6" t="n">
        <v>0.6573</v>
      </c>
    </row>
    <row r="468">
      <c r="A468" s="4" t="inlineStr">
        <is>
          <t>25-PC-41854</t>
        </is>
      </c>
      <c r="B468" s="4" t="inlineStr">
        <is>
          <t>Hackberry Bend Rail Siding - Section 106 Consultation</t>
        </is>
      </c>
      <c r="C468" s="4" t="inlineStr">
        <is>
          <t>In Progress</t>
        </is>
      </c>
      <c r="D468" s="4" t="inlineStr">
        <is>
          <t>Time and material</t>
        </is>
      </c>
      <c r="E468" s="4" t="inlineStr">
        <is>
          <t>Built Environment</t>
        </is>
      </c>
      <c r="F468" s="4" t="inlineStr">
        <is>
          <t>Rickey Salas</t>
        </is>
      </c>
      <c r="G468" s="5" t="n">
        <v>39700</v>
      </c>
      <c r="H468" s="5" t="n">
        <v>39700</v>
      </c>
      <c r="I468" s="5" t="n">
        <v>38010.35</v>
      </c>
      <c r="J468" s="5" t="n">
        <v>25920.13</v>
      </c>
      <c r="K468" s="5" t="n">
        <v>25920.13</v>
      </c>
      <c r="L468" s="5" t="n">
        <v>0</v>
      </c>
      <c r="M468" s="5" t="n">
        <v>29882.88</v>
      </c>
      <c r="N468" s="5" t="n">
        <v>-3962.75</v>
      </c>
      <c r="O468" s="5" t="n">
        <v>-3962.75</v>
      </c>
      <c r="P468" s="4" t="n"/>
      <c r="Q468" s="6" t="n">
        <v>1</v>
      </c>
      <c r="R468" s="6" t="n">
        <v>1.1529</v>
      </c>
    </row>
    <row r="469">
      <c r="A469" s="4" t="inlineStr">
        <is>
          <t>25-PC-42076</t>
        </is>
      </c>
      <c r="B469" s="4" t="inlineStr">
        <is>
          <t>Bramble Creek Highway Widening Curation</t>
        </is>
      </c>
      <c r="C469" s="4" t="inlineStr">
        <is>
          <t>In Progress</t>
        </is>
      </c>
      <c r="D469" s="4" t="inlineStr">
        <is>
          <t>Time and material</t>
        </is>
      </c>
      <c r="E469" s="4" t="inlineStr">
        <is>
          <t>Built Environment</t>
        </is>
      </c>
      <c r="F469" s="4" t="inlineStr">
        <is>
          <t>Jesse Maynard</t>
        </is>
      </c>
      <c r="G469" s="5" t="n">
        <v>319600</v>
      </c>
      <c r="H469" s="5" t="n">
        <v>155773.55</v>
      </c>
      <c r="I469" s="5" t="n">
        <v>147831.26</v>
      </c>
      <c r="J469" s="5" t="n">
        <v>227746.96</v>
      </c>
      <c r="K469" s="5" t="n">
        <v>227746.96</v>
      </c>
      <c r="L469" s="5" t="n">
        <v>0</v>
      </c>
      <c r="M469" s="5" t="n">
        <v>98992.02</v>
      </c>
      <c r="N469" s="5" t="n">
        <v>128754.94</v>
      </c>
      <c r="O469" s="5" t="n">
        <v>128754.94</v>
      </c>
      <c r="P469" s="4" t="n"/>
      <c r="Q469" s="6" t="n">
        <v>0.487</v>
      </c>
      <c r="R469" s="6" t="n">
        <v>0.4347</v>
      </c>
    </row>
    <row r="470">
      <c r="A470" s="4" t="inlineStr">
        <is>
          <t>25-PC-42084</t>
        </is>
      </c>
      <c r="B470" s="4" t="inlineStr">
        <is>
          <t>Foxglove Built Environment Survey</t>
        </is>
      </c>
      <c r="C470" s="4" t="inlineStr">
        <is>
          <t>In Progress</t>
        </is>
      </c>
      <c r="D470" s="4" t="inlineStr">
        <is>
          <t>Time and material</t>
        </is>
      </c>
      <c r="E470" s="4" t="inlineStr">
        <is>
          <t>Built Environment</t>
        </is>
      </c>
      <c r="F470" s="4" t="inlineStr">
        <is>
          <t>Kathleen Cabrera</t>
        </is>
      </c>
      <c r="G470" s="5" t="n">
        <v>1294200</v>
      </c>
      <c r="H470" s="5" t="n">
        <v>344257.2</v>
      </c>
      <c r="I470" s="5" t="n">
        <v>344257.2</v>
      </c>
      <c r="J470" s="5" t="n">
        <v>847312.74</v>
      </c>
      <c r="K470" s="5" t="n">
        <v>847312.74</v>
      </c>
      <c r="L470" s="5" t="n">
        <v>0</v>
      </c>
      <c r="M470" s="5" t="n">
        <v>296024.06</v>
      </c>
      <c r="N470" s="5" t="n">
        <v>551288.6799999999</v>
      </c>
      <c r="O470" s="5" t="n">
        <v>551288.6799999999</v>
      </c>
      <c r="P470" s="4" t="n"/>
      <c r="Q470" s="6" t="n">
        <v>0.266</v>
      </c>
      <c r="R470" s="6" t="n">
        <v>0.3494</v>
      </c>
    </row>
    <row r="471">
      <c r="A471" s="4" t="inlineStr">
        <is>
          <t>25-PC-42097</t>
        </is>
      </c>
      <c r="B471" s="4" t="inlineStr">
        <is>
          <t>Tansy Flat Solar Data Recovery</t>
        </is>
      </c>
      <c r="C471" s="4" t="inlineStr">
        <is>
          <t>In Progress</t>
        </is>
      </c>
      <c r="D471" s="4" t="inlineStr">
        <is>
          <t>Fixed fee</t>
        </is>
      </c>
      <c r="E471" s="4" t="inlineStr">
        <is>
          <t>Built Environment</t>
        </is>
      </c>
      <c r="F471" s="4" t="inlineStr">
        <is>
          <t>Jenny Wilkinson</t>
        </is>
      </c>
      <c r="G471" s="5" t="n">
        <v>179700</v>
      </c>
      <c r="H471" s="5" t="n">
        <v>84315.24000000001</v>
      </c>
      <c r="I471" s="5" t="n">
        <v>72979.58</v>
      </c>
      <c r="J471" s="5" t="n">
        <v>138548.7</v>
      </c>
      <c r="K471" s="5" t="n">
        <v>138548.7</v>
      </c>
      <c r="L471" s="5" t="n">
        <v>0</v>
      </c>
      <c r="M471" s="5" t="n">
        <v>65000.81</v>
      </c>
      <c r="N471" s="5" t="n">
        <v>73547.89000000001</v>
      </c>
      <c r="O471" s="5" t="n">
        <v>73547.89000000001</v>
      </c>
      <c r="P471" s="4" t="n"/>
      <c r="Q471" s="6" t="n">
        <v>0.469</v>
      </c>
      <c r="R471" s="6" t="n">
        <v>0.4692</v>
      </c>
    </row>
    <row r="472">
      <c r="A472" s="4" t="inlineStr">
        <is>
          <t>25-PC-42115</t>
        </is>
      </c>
      <c r="B472" s="4" t="inlineStr">
        <is>
          <t>Hawk Point Reservoir Maritime Remote Sensing Survey</t>
        </is>
      </c>
      <c r="C472" s="4" t="inlineStr">
        <is>
          <t>Transferred Entity</t>
        </is>
      </c>
      <c r="D472" s="4" t="inlineStr">
        <is>
          <t>Fixed fee</t>
        </is>
      </c>
      <c r="E472" s="4" t="inlineStr">
        <is>
          <t>Built Environment</t>
        </is>
      </c>
      <c r="F472" s="4" t="inlineStr">
        <is>
          <t>Jesse Maynard</t>
        </is>
      </c>
      <c r="G472" s="5" t="n">
        <v>110400</v>
      </c>
      <c r="H472" s="5" t="n">
        <v>70534.56</v>
      </c>
      <c r="I472" s="5" t="n">
        <v>70534.56</v>
      </c>
      <c r="J472" s="5" t="n">
        <v>90660.48</v>
      </c>
      <c r="K472" s="5" t="n">
        <v>90660.48</v>
      </c>
      <c r="L472" s="5" t="n">
        <v>0</v>
      </c>
      <c r="M472" s="5" t="n">
        <v>57919.11</v>
      </c>
      <c r="N472" s="5" t="n">
        <v>32741.37</v>
      </c>
      <c r="O472" s="5" t="n">
        <v>32741.37</v>
      </c>
      <c r="P472" s="4" t="n"/>
      <c r="Q472" s="6" t="n">
        <v>0.639</v>
      </c>
      <c r="R472" s="6" t="n">
        <v>0.6389</v>
      </c>
    </row>
    <row r="473">
      <c r="A473" s="4" t="inlineStr">
        <is>
          <t>25-PC-42136</t>
        </is>
      </c>
      <c r="B473" s="4" t="inlineStr">
        <is>
          <t>Phase III: Granite Pass Mixed-Use Development Maritime Remote Sensing Survey</t>
        </is>
      </c>
      <c r="C473" s="4" t="inlineStr">
        <is>
          <t>In Progress</t>
        </is>
      </c>
      <c r="D473" s="4" t="inlineStr">
        <is>
          <t>Fixed fee</t>
        </is>
      </c>
      <c r="E473" s="4" t="inlineStr">
        <is>
          <t>Built Environment</t>
        </is>
      </c>
      <c r="F473" s="4" t="inlineStr">
        <is>
          <t>Jesse Maynard</t>
        </is>
      </c>
      <c r="G473" s="5" t="n">
        <v>31700</v>
      </c>
      <c r="H473" s="5" t="n">
        <v>23670.39</v>
      </c>
      <c r="I473" s="5" t="n">
        <v>20580.8</v>
      </c>
      <c r="J473" s="5" t="n">
        <v>23936.32</v>
      </c>
      <c r="K473" s="5" t="n">
        <v>17555.9</v>
      </c>
      <c r="L473" s="5" t="n">
        <v>6380.42</v>
      </c>
      <c r="M473" s="5" t="n">
        <v>17873.56</v>
      </c>
      <c r="N473" s="5" t="n">
        <v>6062.759999999998</v>
      </c>
      <c r="O473" s="5" t="n">
        <v>-317.6599999999999</v>
      </c>
      <c r="P473" s="4" t="n"/>
      <c r="Q473" s="6" t="n">
        <v>0.747</v>
      </c>
      <c r="R473" s="6" t="n">
        <v>0.7467</v>
      </c>
    </row>
    <row r="474">
      <c r="A474" s="4" t="inlineStr">
        <is>
          <t>25-PC-42163</t>
        </is>
      </c>
      <c r="B474" s="4" t="inlineStr">
        <is>
          <t>Foxglove Historic Resources Evaluation</t>
        </is>
      </c>
      <c r="C474" s="4" t="inlineStr">
        <is>
          <t>Final Reporting/Review</t>
        </is>
      </c>
      <c r="D474" s="4" t="inlineStr">
        <is>
          <t>Time and material</t>
        </is>
      </c>
      <c r="E474" s="4" t="inlineStr">
        <is>
          <t>Built Environment</t>
        </is>
      </c>
      <c r="F474" s="4" t="inlineStr">
        <is>
          <t>Rickey Salas</t>
        </is>
      </c>
      <c r="G474" s="5" t="n">
        <v>50700</v>
      </c>
      <c r="H474" s="5" t="n">
        <v>38724.35</v>
      </c>
      <c r="I474" s="5" t="n">
        <v>38724.35</v>
      </c>
      <c r="J474" s="5" t="n">
        <v>34430.37</v>
      </c>
      <c r="K474" s="5" t="n">
        <v>34430.37</v>
      </c>
      <c r="L474" s="5" t="n">
        <v>0</v>
      </c>
      <c r="M474" s="5" t="n">
        <v>27262.05</v>
      </c>
      <c r="N474" s="5" t="n">
        <v>7168.320000000003</v>
      </c>
      <c r="O474" s="5" t="n">
        <v>7168.320000000003</v>
      </c>
      <c r="P474" s="4" t="n"/>
      <c r="Q474" s="6" t="n">
        <v>0.764</v>
      </c>
      <c r="R474" s="6" t="n">
        <v>0.7917999999999999</v>
      </c>
    </row>
    <row r="475">
      <c r="A475" s="4" t="inlineStr">
        <is>
          <t>25-PC-42227</t>
        </is>
      </c>
      <c r="B475" s="4" t="inlineStr">
        <is>
          <t>Task Order 22: Lantern Bay School Campus Data Recovery</t>
        </is>
      </c>
      <c r="C475" s="4" t="inlineStr">
        <is>
          <t>Cost Tracking on Closed Project</t>
        </is>
      </c>
      <c r="D475" s="4" t="inlineStr">
        <is>
          <t>Time and material</t>
        </is>
      </c>
      <c r="E475" s="4" t="inlineStr">
        <is>
          <t>Built Environment</t>
        </is>
      </c>
      <c r="F475" s="4" t="inlineStr">
        <is>
          <t>Kathleen Cabrera</t>
        </is>
      </c>
      <c r="G475" s="5" t="n">
        <v>17900</v>
      </c>
      <c r="H475" s="5" t="n">
        <v>161.1</v>
      </c>
      <c r="I475" s="5" t="n">
        <v>161.1</v>
      </c>
      <c r="J475" s="5" t="n">
        <v>12066.39</v>
      </c>
      <c r="K475" s="5" t="n">
        <v>12066.39</v>
      </c>
      <c r="L475" s="5" t="n">
        <v>0</v>
      </c>
      <c r="M475" s="5" t="n">
        <v>14332.43</v>
      </c>
      <c r="N475" s="5" t="n">
        <v>-2266.040000000001</v>
      </c>
      <c r="O475" s="5" t="n">
        <v>-2266.040000000001</v>
      </c>
      <c r="P475" s="4" t="n"/>
      <c r="Q475" s="6" t="n">
        <v>0.008999999999999999</v>
      </c>
      <c r="R475" s="6" t="n">
        <v>1.1878</v>
      </c>
    </row>
    <row r="476">
      <c r="A476" s="4" t="inlineStr">
        <is>
          <t>25-PC-42253</t>
        </is>
      </c>
      <c r="B476" s="4" t="inlineStr">
        <is>
          <t>On-Call: Plover Cove Substation Phase I Survey</t>
        </is>
      </c>
      <c r="C476" s="4" t="inlineStr">
        <is>
          <t>In Progress</t>
        </is>
      </c>
      <c r="D476" s="4" t="inlineStr">
        <is>
          <t>Time and material</t>
        </is>
      </c>
      <c r="E476" s="4" t="inlineStr">
        <is>
          <t>Paleontology</t>
        </is>
      </c>
      <c r="F476" s="4" t="inlineStr">
        <is>
          <t>Charlene Sparks</t>
        </is>
      </c>
      <c r="G476" s="5" t="n">
        <v>67000</v>
      </c>
      <c r="H476" s="5" t="n">
        <v>47935</v>
      </c>
      <c r="I476" s="5" t="n">
        <v>47935</v>
      </c>
      <c r="J476" s="5" t="n">
        <v>45781.1</v>
      </c>
      <c r="K476" s="5" t="n">
        <v>45781.1</v>
      </c>
      <c r="L476" s="5" t="n">
        <v>0</v>
      </c>
      <c r="M476" s="5" t="n">
        <v>27198.17</v>
      </c>
      <c r="N476" s="5" t="n">
        <v>18582.93</v>
      </c>
      <c r="O476" s="5" t="n">
        <v>18582.93</v>
      </c>
      <c r="P476" s="4" t="n"/>
      <c r="Q476" s="6" t="n">
        <v>0.715</v>
      </c>
      <c r="R476" s="6" t="n">
        <v>0.5941</v>
      </c>
    </row>
    <row r="477">
      <c r="A477" s="4" t="inlineStr">
        <is>
          <t>25-PC-42282</t>
        </is>
      </c>
      <c r="B477" s="4" t="inlineStr">
        <is>
          <t>Dove Canyon Levee Repair - Phase I Survey</t>
        </is>
      </c>
      <c r="C477" s="4" t="inlineStr">
        <is>
          <t>In Progress</t>
        </is>
      </c>
      <c r="D477" s="4" t="inlineStr">
        <is>
          <t>Fixed fee</t>
        </is>
      </c>
      <c r="E477" s="4" t="inlineStr">
        <is>
          <t>Paleontology</t>
        </is>
      </c>
      <c r="F477" s="4" t="inlineStr">
        <is>
          <t>Charlene Sparks</t>
        </is>
      </c>
      <c r="G477" s="5" t="n">
        <v>33000</v>
      </c>
      <c r="H477" s="5" t="n">
        <v>20116.8</v>
      </c>
      <c r="I477" s="5" t="n">
        <v>20116.8</v>
      </c>
      <c r="J477" s="5" t="n">
        <v>19255.5</v>
      </c>
      <c r="K477" s="5" t="n">
        <v>19255.5</v>
      </c>
      <c r="L477" s="5" t="n">
        <v>0</v>
      </c>
      <c r="M477" s="5" t="n">
        <v>11737.58</v>
      </c>
      <c r="N477" s="5" t="n">
        <v>7517.92</v>
      </c>
      <c r="O477" s="5" t="n">
        <v>7517.92</v>
      </c>
      <c r="P477" s="4" t="n"/>
      <c r="Q477" s="6" t="n">
        <v>0.61</v>
      </c>
      <c r="R477" s="6" t="n">
        <v>0.6096</v>
      </c>
    </row>
    <row r="478">
      <c r="A478" s="4" t="inlineStr">
        <is>
          <t>25-PC-42315</t>
        </is>
      </c>
      <c r="B478" s="4" t="inlineStr">
        <is>
          <t>Sage Flat Bridge Replacement Class III Survey</t>
        </is>
      </c>
      <c r="C478" s="4" t="inlineStr">
        <is>
          <t>In Progress</t>
        </is>
      </c>
      <c r="D478" s="4" t="inlineStr">
        <is>
          <t>Fixed fee</t>
        </is>
      </c>
      <c r="E478" s="4" t="inlineStr">
        <is>
          <t>Paleontology</t>
        </is>
      </c>
      <c r="F478" s="4" t="inlineStr">
        <is>
          <t>Charlene Sparks</t>
        </is>
      </c>
      <c r="G478" s="5" t="n">
        <v>41200</v>
      </c>
      <c r="H478" s="5" t="n">
        <v>32304.92</v>
      </c>
      <c r="I478" s="5" t="n">
        <v>29924.09</v>
      </c>
      <c r="J478" s="5" t="n">
        <v>29239.64</v>
      </c>
      <c r="K478" s="5" t="n">
        <v>29239.64</v>
      </c>
      <c r="L478" s="5" t="n">
        <v>0</v>
      </c>
      <c r="M478" s="5" t="n">
        <v>22925.4</v>
      </c>
      <c r="N478" s="5" t="n">
        <v>6314.239999999998</v>
      </c>
      <c r="O478" s="5" t="n">
        <v>6314.239999999998</v>
      </c>
      <c r="P478" s="4" t="n"/>
      <c r="Q478" s="6" t="n">
        <v>0.784</v>
      </c>
      <c r="R478" s="6" t="n">
        <v>0.7841</v>
      </c>
    </row>
    <row r="479">
      <c r="A479" s="4" t="inlineStr">
        <is>
          <t>25-PC-42323</t>
        </is>
      </c>
      <c r="B479" s="4" t="inlineStr">
        <is>
          <t>Millbrook Cultural Resources Monitoring</t>
        </is>
      </c>
      <c r="C479" s="4" t="inlineStr">
        <is>
          <t>In Progress</t>
        </is>
      </c>
      <c r="D479" s="4" t="inlineStr">
        <is>
          <t>Fixed fee</t>
        </is>
      </c>
      <c r="E479" s="4" t="inlineStr">
        <is>
          <t>Paleontology</t>
        </is>
      </c>
      <c r="F479" s="4" t="inlineStr">
        <is>
          <t>Travis Delgado</t>
        </is>
      </c>
      <c r="G479" s="5" t="n">
        <v>79800</v>
      </c>
      <c r="H479" s="5" t="n">
        <v>46355.82</v>
      </c>
      <c r="I479" s="5" t="n">
        <v>46355.82</v>
      </c>
      <c r="J479" s="5" t="n">
        <v>58357.74</v>
      </c>
      <c r="K479" s="5" t="n">
        <v>58357.74</v>
      </c>
      <c r="L479" s="5" t="n">
        <v>0</v>
      </c>
      <c r="M479" s="5" t="n">
        <v>33900.56</v>
      </c>
      <c r="N479" s="5" t="n">
        <v>24457.18</v>
      </c>
      <c r="O479" s="5" t="n">
        <v>24457.18</v>
      </c>
      <c r="P479" s="4" t="n"/>
      <c r="Q479" s="6" t="n">
        <v>0.581</v>
      </c>
      <c r="R479" s="6" t="n">
        <v>0.5809</v>
      </c>
    </row>
    <row r="480">
      <c r="A480" s="4" t="inlineStr">
        <is>
          <t>25-PC-42343</t>
        </is>
      </c>
      <c r="B480" s="4" t="inlineStr">
        <is>
          <t>Phase III: Coyote Springs Pipeline Phase II Testing</t>
        </is>
      </c>
      <c r="C480" s="4" t="inlineStr">
        <is>
          <t>In Progress</t>
        </is>
      </c>
      <c r="D480" s="4" t="inlineStr">
        <is>
          <t>Fixed fee</t>
        </is>
      </c>
      <c r="E480" s="4" t="inlineStr">
        <is>
          <t>Paleontology</t>
        </is>
      </c>
      <c r="F480" s="4" t="inlineStr">
        <is>
          <t>Travis Delgado</t>
        </is>
      </c>
      <c r="G480" s="5" t="n">
        <v>6100</v>
      </c>
      <c r="H480" s="5" t="n">
        <v>4126.04</v>
      </c>
      <c r="I480" s="5" t="n">
        <v>4126.04</v>
      </c>
      <c r="J480" s="5" t="n">
        <v>4038.38</v>
      </c>
      <c r="K480" s="5" t="n">
        <v>3787.65</v>
      </c>
      <c r="L480" s="5" t="n">
        <v>250.73</v>
      </c>
      <c r="M480" s="5" t="n">
        <v>2731.5</v>
      </c>
      <c r="N480" s="5" t="n">
        <v>1306.88</v>
      </c>
      <c r="O480" s="5" t="n">
        <v>1056.15</v>
      </c>
      <c r="P480" s="4" t="n"/>
      <c r="Q480" s="6" t="n">
        <v>0.676</v>
      </c>
      <c r="R480" s="6" t="n">
        <v>0.6764</v>
      </c>
    </row>
    <row r="481">
      <c r="A481" s="4" t="inlineStr">
        <is>
          <t>25-PC-42364</t>
        </is>
      </c>
      <c r="B481" s="4" t="inlineStr">
        <is>
          <t>Sparrow Hill Fiber Route - Phase I Survey</t>
        </is>
      </c>
      <c r="C481" s="4" t="inlineStr">
        <is>
          <t>In Progress</t>
        </is>
      </c>
      <c r="D481" s="4" t="inlineStr">
        <is>
          <t>Fixed fee</t>
        </is>
      </c>
      <c r="E481" s="4" t="inlineStr">
        <is>
          <t>Paleontology</t>
        </is>
      </c>
      <c r="F481" s="4" t="inlineStr">
        <is>
          <t>Travis Delgado</t>
        </is>
      </c>
      <c r="G481" s="5" t="n">
        <v>594900</v>
      </c>
      <c r="H481" s="5" t="n">
        <v>375917.31</v>
      </c>
      <c r="I481" s="5" t="n">
        <v>375917.31</v>
      </c>
      <c r="J481" s="5" t="n">
        <v>426353.2</v>
      </c>
      <c r="K481" s="5" t="n">
        <v>400715.25</v>
      </c>
      <c r="L481" s="5" t="n">
        <v>25637.95</v>
      </c>
      <c r="M481" s="5" t="n">
        <v>269416.69</v>
      </c>
      <c r="N481" s="5" t="n">
        <v>156936.51</v>
      </c>
      <c r="O481" s="5" t="n">
        <v>131298.56</v>
      </c>
      <c r="P481" s="4" t="n"/>
      <c r="Q481" s="6" t="n">
        <v>0.632</v>
      </c>
      <c r="R481" s="6" t="n">
        <v>0.6319</v>
      </c>
    </row>
    <row r="482">
      <c r="A482" s="4" t="inlineStr">
        <is>
          <t>25-PC-42399</t>
        </is>
      </c>
      <c r="B482" s="4" t="inlineStr">
        <is>
          <t>Task Order 7: Aspen Ridge Housing Development Class III Survey</t>
        </is>
      </c>
      <c r="C482" s="4" t="inlineStr">
        <is>
          <t>In Progress</t>
        </is>
      </c>
      <c r="D482" s="4" t="inlineStr">
        <is>
          <t>Fixed fee</t>
        </is>
      </c>
      <c r="E482" s="4" t="inlineStr">
        <is>
          <t>Paleontology</t>
        </is>
      </c>
      <c r="F482" s="4" t="inlineStr">
        <is>
          <t>Charlene Sparks</t>
        </is>
      </c>
      <c r="G482" s="5" t="n">
        <v>683800</v>
      </c>
      <c r="H482" s="5" t="n">
        <v>385594.82</v>
      </c>
      <c r="I482" s="5" t="n">
        <v>364616.3</v>
      </c>
      <c r="J482" s="5" t="n">
        <v>509225.86</v>
      </c>
      <c r="K482" s="5" t="n">
        <v>509225.86</v>
      </c>
      <c r="L482" s="5" t="n">
        <v>0</v>
      </c>
      <c r="M482" s="5" t="n">
        <v>287162.01</v>
      </c>
      <c r="N482" s="5" t="n">
        <v>222063.85</v>
      </c>
      <c r="O482" s="5" t="n">
        <v>222063.85</v>
      </c>
      <c r="P482" s="4" t="n"/>
      <c r="Q482" s="6" t="n">
        <v>0.5639999999999999</v>
      </c>
      <c r="R482" s="6" t="n">
        <v>0.5639</v>
      </c>
    </row>
    <row r="483">
      <c r="A483" s="4" t="inlineStr">
        <is>
          <t>25-PC-42528</t>
        </is>
      </c>
      <c r="B483" s="4" t="inlineStr">
        <is>
          <t>Slate Ridge Park Improvements - Phase I Survey</t>
        </is>
      </c>
      <c r="C483" s="4" t="inlineStr">
        <is>
          <t>In Progress</t>
        </is>
      </c>
      <c r="D483" s="4" t="inlineStr">
        <is>
          <t>Fixed fee</t>
        </is>
      </c>
      <c r="E483" s="4" t="inlineStr">
        <is>
          <t>Paleontology</t>
        </is>
      </c>
      <c r="F483" s="4" t="inlineStr">
        <is>
          <t>Charlene Sparks</t>
        </is>
      </c>
      <c r="G483" s="5" t="n">
        <v>132000</v>
      </c>
      <c r="H483" s="5" t="n">
        <v>37144.8</v>
      </c>
      <c r="I483" s="5" t="n">
        <v>36898.14</v>
      </c>
      <c r="J483" s="5" t="n">
        <v>93601.2</v>
      </c>
      <c r="K483" s="5" t="n">
        <v>93601.2</v>
      </c>
      <c r="L483" s="5" t="n">
        <v>0</v>
      </c>
      <c r="M483" s="5" t="n">
        <v>26336.22</v>
      </c>
      <c r="N483" s="5" t="n">
        <v>67264.98</v>
      </c>
      <c r="O483" s="5" t="n">
        <v>67264.98</v>
      </c>
      <c r="P483" s="4" t="n"/>
      <c r="Q483" s="6" t="n">
        <v>0.281</v>
      </c>
      <c r="R483" s="6" t="n">
        <v>0.2814</v>
      </c>
    </row>
    <row r="484">
      <c r="A484" s="4" t="inlineStr">
        <is>
          <t>25-PC-42601</t>
        </is>
      </c>
      <c r="B484" s="4" t="inlineStr">
        <is>
          <t>Lantern Bay Park Improvements - Cultural Resources Monitoring</t>
        </is>
      </c>
      <c r="C484" s="4" t="inlineStr">
        <is>
          <t>Transferred Entity</t>
        </is>
      </c>
      <c r="D484" s="4" t="inlineStr">
        <is>
          <t>Time and material</t>
        </is>
      </c>
      <c r="E484" s="4" t="inlineStr">
        <is>
          <t>Paleontology</t>
        </is>
      </c>
      <c r="F484" s="4" t="inlineStr">
        <is>
          <t>Charlene Sparks</t>
        </is>
      </c>
      <c r="G484" s="5" t="n">
        <v>302100</v>
      </c>
      <c r="H484" s="5" t="n">
        <v>108000.1</v>
      </c>
      <c r="I484" s="5" t="n">
        <v>100989.07</v>
      </c>
      <c r="J484" s="5" t="n">
        <v>213521.46</v>
      </c>
      <c r="K484" s="5" t="n">
        <v>177364.48</v>
      </c>
      <c r="L484" s="5" t="n">
        <v>36156.98</v>
      </c>
      <c r="M484" s="5" t="n">
        <v>62873.17</v>
      </c>
      <c r="N484" s="5" t="n">
        <v>150648.29</v>
      </c>
      <c r="O484" s="5" t="n">
        <v>114491.31</v>
      </c>
      <c r="P484" s="4" t="n"/>
      <c r="Q484" s="6" t="n">
        <v>0.357</v>
      </c>
      <c r="R484" s="6" t="n">
        <v>0.2945</v>
      </c>
    </row>
    <row r="485">
      <c r="A485" s="4" t="inlineStr">
        <is>
          <t>25-PC-42717</t>
        </is>
      </c>
      <c r="B485" s="4" t="inlineStr">
        <is>
          <t>Task Order 24: Sea Oat Cell Tower Data Recovery</t>
        </is>
      </c>
      <c r="C485" s="4" t="inlineStr">
        <is>
          <t>In Progress</t>
        </is>
      </c>
      <c r="D485" s="4" t="inlineStr">
        <is>
          <t>Time and material</t>
        </is>
      </c>
      <c r="E485" s="4" t="inlineStr">
        <is>
          <t>Maritime</t>
        </is>
      </c>
      <c r="F485" s="4" t="inlineStr">
        <is>
          <t>Kyle Maynard</t>
        </is>
      </c>
      <c r="G485" s="5" t="n">
        <v>130300</v>
      </c>
      <c r="H485" s="5" t="n">
        <v>128601.35</v>
      </c>
      <c r="I485" s="5" t="n">
        <v>128601.35</v>
      </c>
      <c r="J485" s="5" t="n">
        <v>95796.56</v>
      </c>
      <c r="K485" s="5" t="n">
        <v>95796.56</v>
      </c>
      <c r="L485" s="5" t="n">
        <v>0</v>
      </c>
      <c r="M485" s="5" t="n">
        <v>79985.69</v>
      </c>
      <c r="N485" s="5" t="n">
        <v>15810.87</v>
      </c>
      <c r="O485" s="5" t="n">
        <v>15810.87</v>
      </c>
      <c r="P485" s="4" t="n"/>
      <c r="Q485" s="6" t="n">
        <v>0.987</v>
      </c>
      <c r="R485" s="6" t="n">
        <v>0.835</v>
      </c>
    </row>
    <row r="486">
      <c r="A486" s="4" t="inlineStr">
        <is>
          <t>25-PC-43073</t>
        </is>
      </c>
      <c r="B486" s="4" t="inlineStr">
        <is>
          <t>Elk Meadow Highway Widening Phase I Survey</t>
        </is>
      </c>
      <c r="C486" s="4" t="inlineStr">
        <is>
          <t>Transferred Entity</t>
        </is>
      </c>
      <c r="D486" s="4" t="inlineStr">
        <is>
          <t>Time and material</t>
        </is>
      </c>
      <c r="E486" s="4" t="inlineStr">
        <is>
          <t>Geospatial</t>
        </is>
      </c>
      <c r="F486" s="4" t="inlineStr">
        <is>
          <t>Sylvia Callahan</t>
        </is>
      </c>
      <c r="G486" s="5" t="n">
        <v>62000</v>
      </c>
      <c r="H486" s="5" t="n">
        <v>54684.75</v>
      </c>
      <c r="I486" s="5" t="n">
        <v>54684.75</v>
      </c>
      <c r="J486" s="5" t="n">
        <v>44404.4</v>
      </c>
      <c r="K486" s="5" t="n">
        <v>44404.4</v>
      </c>
      <c r="L486" s="5" t="n">
        <v>0</v>
      </c>
      <c r="M486" s="5" t="n">
        <v>44584.79</v>
      </c>
      <c r="N486" s="5" t="n">
        <v>-180.3899999999994</v>
      </c>
      <c r="O486" s="5" t="n">
        <v>-180.3899999999994</v>
      </c>
      <c r="P486" s="4" t="n"/>
      <c r="Q486" s="6" t="n">
        <v>0.882</v>
      </c>
      <c r="R486" s="6" t="n">
        <v>1.0041</v>
      </c>
    </row>
    <row r="487">
      <c r="A487" s="4" t="inlineStr">
        <is>
          <t>25-PC-43203</t>
        </is>
      </c>
      <c r="B487" s="4" t="inlineStr">
        <is>
          <t>Bramble Creek Mine Expansion Archaeological Testing</t>
        </is>
      </c>
      <c r="C487" s="4" t="inlineStr">
        <is>
          <t>In Progress</t>
        </is>
      </c>
      <c r="D487" s="4" t="inlineStr">
        <is>
          <t>Fixed fee</t>
        </is>
      </c>
      <c r="E487" s="4" t="inlineStr">
        <is>
          <t>Meridian Central</t>
        </is>
      </c>
      <c r="F487" s="4" t="inlineStr">
        <is>
          <t>Seth Zavala</t>
        </is>
      </c>
      <c r="G487" s="5" t="n">
        <v>128400</v>
      </c>
      <c r="H487" s="5" t="n">
        <v>128400</v>
      </c>
      <c r="I487" s="5" t="n">
        <v>128209.36</v>
      </c>
      <c r="J487" s="5" t="n">
        <v>106315.2</v>
      </c>
      <c r="K487" s="5" t="n">
        <v>106315.2</v>
      </c>
      <c r="L487" s="5" t="n">
        <v>0</v>
      </c>
      <c r="M487" s="5" t="n">
        <v>195734.3</v>
      </c>
      <c r="N487" s="5" t="n">
        <v>-89419.09999999999</v>
      </c>
      <c r="O487" s="5" t="n">
        <v>-89419.09999999999</v>
      </c>
      <c r="P487" s="4" t="n"/>
      <c r="Q487" s="6" t="n">
        <v>1</v>
      </c>
      <c r="R487" s="6" t="n">
        <v>1.8411</v>
      </c>
    </row>
    <row r="488">
      <c r="A488" s="4" t="inlineStr">
        <is>
          <t>25-PC-43286</t>
        </is>
      </c>
      <c r="B488" s="4" t="inlineStr">
        <is>
          <t>Riverbend Highway Widening - Phase II Testing</t>
        </is>
      </c>
      <c r="C488" s="4" t="inlineStr">
        <is>
          <t>In Progress</t>
        </is>
      </c>
      <c r="D488" s="4" t="inlineStr">
        <is>
          <t>Time and material</t>
        </is>
      </c>
      <c r="E488" s="4" t="inlineStr">
        <is>
          <t>Meridian Central</t>
        </is>
      </c>
      <c r="F488" s="4" t="inlineStr">
        <is>
          <t>Seth Zavala</t>
        </is>
      </c>
      <c r="G488" s="5" t="n">
        <v>15700</v>
      </c>
      <c r="H488" s="5" t="n">
        <v>15700</v>
      </c>
      <c r="I488" s="5" t="n">
        <v>11349.21</v>
      </c>
      <c r="J488" s="5" t="n">
        <v>10903.65</v>
      </c>
      <c r="K488" s="5" t="n">
        <v>10903.65</v>
      </c>
      <c r="L488" s="5" t="n">
        <v>0</v>
      </c>
      <c r="M488" s="5" t="n">
        <v>71168.37</v>
      </c>
      <c r="N488" s="5" t="n">
        <v>-60264.71999999999</v>
      </c>
      <c r="O488" s="5" t="n">
        <v>-60264.71999999999</v>
      </c>
      <c r="P488" s="4" t="n"/>
      <c r="Q488" s="6" t="n">
        <v>1</v>
      </c>
      <c r="R488" s="6" t="n">
        <v>6.527</v>
      </c>
    </row>
    <row r="489">
      <c r="A489" s="4" t="inlineStr">
        <is>
          <t>25-PC-43315</t>
        </is>
      </c>
      <c r="B489" s="4" t="inlineStr">
        <is>
          <t>Phase III: Hackberry Bend Bridge Replacement Architectural History Survey</t>
        </is>
      </c>
      <c r="C489" s="4" t="inlineStr">
        <is>
          <t>Cost Tracking on Closed Project</t>
        </is>
      </c>
      <c r="D489" s="4" t="inlineStr">
        <is>
          <t>Fixed fee</t>
        </is>
      </c>
      <c r="E489" s="4" t="inlineStr">
        <is>
          <t>Meridian Central</t>
        </is>
      </c>
      <c r="F489" s="4" t="inlineStr">
        <is>
          <t>Clinton Solis</t>
        </is>
      </c>
      <c r="G489" s="5" t="n">
        <v>715500</v>
      </c>
      <c r="H489" s="5" t="n">
        <v>650818.8</v>
      </c>
      <c r="I489" s="5" t="n">
        <v>650818.8</v>
      </c>
      <c r="J489" s="5" t="n">
        <v>625275.45</v>
      </c>
      <c r="K489" s="5" t="n">
        <v>625275.45</v>
      </c>
      <c r="L489" s="5" t="n">
        <v>0</v>
      </c>
      <c r="M489" s="5" t="n">
        <v>568777.84</v>
      </c>
      <c r="N489" s="5" t="n">
        <v>56497.60999999999</v>
      </c>
      <c r="O489" s="5" t="n">
        <v>56497.60999999999</v>
      </c>
      <c r="P489" s="4" t="n"/>
      <c r="Q489" s="6" t="n">
        <v>0.91</v>
      </c>
      <c r="R489" s="6" t="n">
        <v>0.9096</v>
      </c>
    </row>
    <row r="490">
      <c r="A490" s="4" t="inlineStr">
        <is>
          <t>25-PC-43434</t>
        </is>
      </c>
      <c r="B490" s="4" t="inlineStr">
        <is>
          <t>Riverbend Airport Apron - Class III Survey</t>
        </is>
      </c>
      <c r="C490" s="4" t="inlineStr">
        <is>
          <t>Cost Tracking on Closed Project</t>
        </is>
      </c>
      <c r="D490" s="4" t="inlineStr">
        <is>
          <t>Fixed fee</t>
        </is>
      </c>
      <c r="E490" s="4" t="inlineStr">
        <is>
          <t>Meridian Central</t>
        </is>
      </c>
      <c r="F490" s="4" t="inlineStr">
        <is>
          <t>Seth Zavala</t>
        </is>
      </c>
      <c r="G490" s="5" t="n">
        <v>551800</v>
      </c>
      <c r="H490" s="5" t="n">
        <v>551800</v>
      </c>
      <c r="I490" s="5" t="n">
        <v>551800</v>
      </c>
      <c r="J490" s="5" t="n">
        <v>378424.44</v>
      </c>
      <c r="K490" s="5" t="n">
        <v>378424.44</v>
      </c>
      <c r="L490" s="5" t="n">
        <v>0</v>
      </c>
      <c r="M490" s="5" t="n">
        <v>405626.36</v>
      </c>
      <c r="N490" s="5" t="n">
        <v>-27201.91999999998</v>
      </c>
      <c r="O490" s="5" t="n">
        <v>-27201.91999999998</v>
      </c>
      <c r="P490" s="4" t="n"/>
      <c r="Q490" s="6" t="n">
        <v>1</v>
      </c>
      <c r="R490" s="6" t="n">
        <v>1.0719</v>
      </c>
    </row>
    <row r="491">
      <c r="A491" s="4" t="inlineStr">
        <is>
          <t>25-PC-43566</t>
        </is>
      </c>
      <c r="B491" s="4" t="inlineStr">
        <is>
          <t>Copper Flats Solar - Phase II Testing</t>
        </is>
      </c>
      <c r="C491" s="4" t="inlineStr">
        <is>
          <t>In Progress</t>
        </is>
      </c>
      <c r="D491" s="4" t="inlineStr">
        <is>
          <t>Fixed fee</t>
        </is>
      </c>
      <c r="E491" s="4" t="inlineStr">
        <is>
          <t>Meridian Central</t>
        </is>
      </c>
      <c r="F491" s="4" t="inlineStr">
        <is>
          <t>Mathew Shea</t>
        </is>
      </c>
      <c r="G491" s="5" t="n">
        <v>114200</v>
      </c>
      <c r="H491" s="5" t="n">
        <v>114200</v>
      </c>
      <c r="I491" s="5" t="n">
        <v>114200</v>
      </c>
      <c r="J491" s="5" t="n">
        <v>73887.39999999999</v>
      </c>
      <c r="K491" s="5" t="n">
        <v>73887.39999999999</v>
      </c>
      <c r="L491" s="5" t="n">
        <v>0</v>
      </c>
      <c r="M491" s="5" t="n">
        <v>131458.02</v>
      </c>
      <c r="N491" s="5" t="n">
        <v>-57570.62</v>
      </c>
      <c r="O491" s="5" t="n">
        <v>-57570.62</v>
      </c>
      <c r="P491" s="4" t="n"/>
      <c r="Q491" s="6" t="n">
        <v>1</v>
      </c>
      <c r="R491" s="6" t="n">
        <v>1.7792</v>
      </c>
    </row>
    <row r="492">
      <c r="A492" s="4" t="inlineStr">
        <is>
          <t>25-PC-43590</t>
        </is>
      </c>
      <c r="B492" s="4" t="inlineStr">
        <is>
          <t>Task Order 37: Elk Meadow Harbor Dredging Maritime Remote Sensing Survey</t>
        </is>
      </c>
      <c r="C492" s="4" t="inlineStr">
        <is>
          <t>Final Reporting/Review</t>
        </is>
      </c>
      <c r="D492" s="4" t="inlineStr">
        <is>
          <t>Fixed fee</t>
        </is>
      </c>
      <c r="E492" s="4" t="inlineStr">
        <is>
          <t>Meridian Central</t>
        </is>
      </c>
      <c r="F492" s="4" t="inlineStr">
        <is>
          <t>Mathew Shea</t>
        </is>
      </c>
      <c r="G492" s="5" t="n">
        <v>24800</v>
      </c>
      <c r="H492" s="5" t="n">
        <v>16978.08</v>
      </c>
      <c r="I492" s="5" t="n">
        <v>16978.08</v>
      </c>
      <c r="J492" s="5" t="n">
        <v>16619.52</v>
      </c>
      <c r="K492" s="5" t="n">
        <v>14642.64</v>
      </c>
      <c r="L492" s="5" t="n">
        <v>1976.88</v>
      </c>
      <c r="M492" s="5" t="n">
        <v>11377.59</v>
      </c>
      <c r="N492" s="5" t="n">
        <v>5241.93</v>
      </c>
      <c r="O492" s="5" t="n">
        <v>3265.049999999999</v>
      </c>
      <c r="P492" s="4" t="n"/>
      <c r="Q492" s="6" t="n">
        <v>0.6850000000000001</v>
      </c>
      <c r="R492" s="6" t="n">
        <v>0.6846</v>
      </c>
    </row>
    <row r="493">
      <c r="A493" s="4" t="inlineStr">
        <is>
          <t>25-PC-43621</t>
        </is>
      </c>
      <c r="B493" s="4" t="inlineStr">
        <is>
          <t>Task Order 8: Pine Hollow Highway Widening Historic Resources Evaluation</t>
        </is>
      </c>
      <c r="C493" s="4" t="inlineStr">
        <is>
          <t>In Progress</t>
        </is>
      </c>
      <c r="D493" s="4" t="inlineStr">
        <is>
          <t>Fixed fee</t>
        </is>
      </c>
      <c r="E493" s="4" t="inlineStr">
        <is>
          <t>Meridian Southwest</t>
        </is>
      </c>
      <c r="F493" s="4" t="inlineStr">
        <is>
          <t>Alan Gay</t>
        </is>
      </c>
      <c r="G493" s="5" t="n">
        <v>52800</v>
      </c>
      <c r="H493" s="5" t="n">
        <v>52800</v>
      </c>
      <c r="I493" s="5" t="n">
        <v>52800</v>
      </c>
      <c r="J493" s="5" t="n">
        <v>37979.04</v>
      </c>
      <c r="K493" s="5" t="n">
        <v>37979.04</v>
      </c>
      <c r="L493" s="5" t="n">
        <v>0</v>
      </c>
      <c r="M493" s="5" t="n">
        <v>37986.88</v>
      </c>
      <c r="N493" s="5" t="n">
        <v>-7.839999999996508</v>
      </c>
      <c r="O493" s="5" t="n">
        <v>-7.839999999996508</v>
      </c>
      <c r="P493" s="4" t="n"/>
      <c r="Q493" s="6" t="n">
        <v>1</v>
      </c>
      <c r="R493" s="6" t="n">
        <v>1.0002</v>
      </c>
    </row>
    <row r="494">
      <c r="A494" s="4" t="inlineStr">
        <is>
          <t>25-PC-43639</t>
        </is>
      </c>
      <c r="B494" s="4" t="inlineStr">
        <is>
          <t>Windmill Flat Battery Storage Curation</t>
        </is>
      </c>
      <c r="C494" s="4" t="inlineStr">
        <is>
          <t>Final Reporting/Review</t>
        </is>
      </c>
      <c r="D494" s="4" t="inlineStr">
        <is>
          <t>Fixed fee</t>
        </is>
      </c>
      <c r="E494" s="4" t="inlineStr">
        <is>
          <t>Meridian Southwest</t>
        </is>
      </c>
      <c r="F494" s="4" t="inlineStr">
        <is>
          <t>Harold Chaney</t>
        </is>
      </c>
      <c r="G494" s="5" t="n">
        <v>137000</v>
      </c>
      <c r="H494" s="5" t="n">
        <v>137000</v>
      </c>
      <c r="I494" s="5" t="n">
        <v>133193.26</v>
      </c>
      <c r="J494" s="5" t="n">
        <v>91502.3</v>
      </c>
      <c r="K494" s="5" t="n">
        <v>91502.3</v>
      </c>
      <c r="L494" s="5" t="n">
        <v>0</v>
      </c>
      <c r="M494" s="5" t="n">
        <v>100918.9</v>
      </c>
      <c r="N494" s="5" t="n">
        <v>-9416.599999999991</v>
      </c>
      <c r="O494" s="5" t="n">
        <v>-9416.599999999991</v>
      </c>
      <c r="P494" s="4" t="n"/>
      <c r="Q494" s="6" t="n">
        <v>1</v>
      </c>
      <c r="R494" s="6" t="n">
        <v>1.1029</v>
      </c>
    </row>
    <row r="495">
      <c r="A495" s="4" t="inlineStr">
        <is>
          <t>25-PC-43653</t>
        </is>
      </c>
      <c r="B495" s="4" t="inlineStr">
        <is>
          <t>Ember Valley Housing Development Paleontological Monitoring</t>
        </is>
      </c>
      <c r="C495" s="4" t="inlineStr">
        <is>
          <t>Lab/Curation</t>
        </is>
      </c>
      <c r="D495" s="4" t="inlineStr">
        <is>
          <t>Fixed fee</t>
        </is>
      </c>
      <c r="E495" s="4" t="inlineStr">
        <is>
          <t>Meridian Southwest</t>
        </is>
      </c>
      <c r="F495" s="4" t="inlineStr">
        <is>
          <t>Reginald Kerr</t>
        </is>
      </c>
      <c r="G495" s="5" t="n">
        <v>92800</v>
      </c>
      <c r="H495" s="5" t="n">
        <v>92800</v>
      </c>
      <c r="I495" s="5" t="n">
        <v>80044.53999999999</v>
      </c>
      <c r="J495" s="5" t="n">
        <v>78211.84</v>
      </c>
      <c r="K495" s="5" t="n">
        <v>78211.84</v>
      </c>
      <c r="L495" s="5" t="n">
        <v>0</v>
      </c>
      <c r="M495" s="5" t="n">
        <v>103245.03</v>
      </c>
      <c r="N495" s="5" t="n">
        <v>-25033.19</v>
      </c>
      <c r="O495" s="5" t="n">
        <v>-25033.19</v>
      </c>
      <c r="P495" s="4" t="n"/>
      <c r="Q495" s="6" t="n">
        <v>1</v>
      </c>
      <c r="R495" s="6" t="n">
        <v>1.3201</v>
      </c>
    </row>
    <row r="496">
      <c r="A496" s="4" t="inlineStr">
        <is>
          <t>25-PC-43771</t>
        </is>
      </c>
      <c r="B496" s="4" t="inlineStr">
        <is>
          <t>Granite Pass Reservoir - Built Environment Survey</t>
        </is>
      </c>
      <c r="C496" s="4" t="inlineStr">
        <is>
          <t>Lab/Curation</t>
        </is>
      </c>
      <c r="D496" s="4" t="inlineStr">
        <is>
          <t>Time and material</t>
        </is>
      </c>
      <c r="E496" s="4" t="inlineStr">
        <is>
          <t>Meridian Southwest</t>
        </is>
      </c>
      <c r="F496" s="4" t="inlineStr">
        <is>
          <t>Lynn Tran</t>
        </is>
      </c>
      <c r="G496" s="5" t="n">
        <v>31500</v>
      </c>
      <c r="H496" s="5" t="n">
        <v>15790.5</v>
      </c>
      <c r="I496" s="5" t="n">
        <v>15172.4</v>
      </c>
      <c r="J496" s="5" t="n">
        <v>20147.4</v>
      </c>
      <c r="K496" s="5" t="n">
        <v>20147.4</v>
      </c>
      <c r="L496" s="5" t="n">
        <v>0</v>
      </c>
      <c r="M496" s="5" t="n">
        <v>11344.38</v>
      </c>
      <c r="N496" s="5" t="n">
        <v>8803.020000000002</v>
      </c>
      <c r="O496" s="5" t="n">
        <v>8803.020000000002</v>
      </c>
      <c r="P496" s="4" t="n"/>
      <c r="Q496" s="6" t="n">
        <v>0.501</v>
      </c>
      <c r="R496" s="6" t="n">
        <v>0.5631</v>
      </c>
    </row>
    <row r="497">
      <c r="A497" s="4" t="inlineStr">
        <is>
          <t>25-PC-43844</t>
        </is>
      </c>
      <c r="B497" s="4" t="inlineStr">
        <is>
          <t>Slate Ridge Battery Storage Class III Survey</t>
        </is>
      </c>
      <c r="C497" s="4" t="inlineStr">
        <is>
          <t>In Progress</t>
        </is>
      </c>
      <c r="D497" s="4" t="inlineStr">
        <is>
          <t>Fixed fee</t>
        </is>
      </c>
      <c r="E497" s="4" t="inlineStr">
        <is>
          <t>Meridian Southwest</t>
        </is>
      </c>
      <c r="F497" s="4" t="inlineStr">
        <is>
          <t>Alan Gay</t>
        </is>
      </c>
      <c r="G497" s="5" t="n">
        <v>50700</v>
      </c>
      <c r="H497" s="5" t="n">
        <v>47891.22</v>
      </c>
      <c r="I497" s="5" t="n">
        <v>43959.81</v>
      </c>
      <c r="J497" s="5" t="n">
        <v>33907.9</v>
      </c>
      <c r="K497" s="5" t="n">
        <v>26087.6</v>
      </c>
      <c r="L497" s="5" t="n">
        <v>7820.3</v>
      </c>
      <c r="M497" s="5" t="n">
        <v>32031.03</v>
      </c>
      <c r="N497" s="5" t="n">
        <v>1876.870000000003</v>
      </c>
      <c r="O497" s="5" t="n">
        <v>-5943.43</v>
      </c>
      <c r="P497" s="4" t="n"/>
      <c r="Q497" s="6" t="n">
        <v>0.945</v>
      </c>
      <c r="R497" s="6" t="n">
        <v>0.9446</v>
      </c>
    </row>
    <row r="498">
      <c r="A498" s="4" t="inlineStr">
        <is>
          <t>25-PC-43853</t>
        </is>
      </c>
      <c r="B498" s="4" t="inlineStr">
        <is>
          <t>Heron Marsh Battery Storage - Phase II Testing</t>
        </is>
      </c>
      <c r="C498" s="4" t="inlineStr">
        <is>
          <t>Final Reporting/Review</t>
        </is>
      </c>
      <c r="D498" s="4" t="inlineStr">
        <is>
          <t>Time and material</t>
        </is>
      </c>
      <c r="E498" s="4" t="inlineStr">
        <is>
          <t>Meridian Southwest</t>
        </is>
      </c>
      <c r="F498" s="4" t="inlineStr">
        <is>
          <t>Alan Gay</t>
        </is>
      </c>
      <c r="G498" s="5" t="n">
        <v>162800</v>
      </c>
      <c r="H498" s="5" t="n">
        <v>159982.25</v>
      </c>
      <c r="I498" s="5" t="n">
        <v>146251.97</v>
      </c>
      <c r="J498" s="5" t="n">
        <v>115799.64</v>
      </c>
      <c r="K498" s="5" t="n">
        <v>115799.64</v>
      </c>
      <c r="L498" s="5" t="n">
        <v>0</v>
      </c>
      <c r="M498" s="5" t="n">
        <v>99239.21000000001</v>
      </c>
      <c r="N498" s="5" t="n">
        <v>16560.42999999999</v>
      </c>
      <c r="O498" s="5" t="n">
        <v>16560.42999999999</v>
      </c>
      <c r="P498" s="4" t="n"/>
      <c r="Q498" s="6" t="n">
        <v>0.983</v>
      </c>
      <c r="R498" s="6" t="n">
        <v>0.857</v>
      </c>
    </row>
    <row r="499">
      <c r="A499" s="4" t="inlineStr">
        <is>
          <t>25-PC-43863</t>
        </is>
      </c>
      <c r="B499" s="4" t="inlineStr">
        <is>
          <t>Yarrow Point Cultural Resources Assessment</t>
        </is>
      </c>
      <c r="C499" s="4" t="inlineStr">
        <is>
          <t>In Progress</t>
        </is>
      </c>
      <c r="D499" s="4" t="inlineStr">
        <is>
          <t>Fixed fee</t>
        </is>
      </c>
      <c r="E499" s="4" t="inlineStr">
        <is>
          <t>Meridian Southwest</t>
        </is>
      </c>
      <c r="F499" s="4" t="inlineStr">
        <is>
          <t>Reginald Kerr</t>
        </is>
      </c>
      <c r="G499" s="5" t="n">
        <v>545200</v>
      </c>
      <c r="H499" s="5" t="n">
        <v>101298.16</v>
      </c>
      <c r="I499" s="5" t="n">
        <v>95002.42999999999</v>
      </c>
      <c r="J499" s="5" t="n">
        <v>450335.2</v>
      </c>
      <c r="K499" s="5" t="n">
        <v>450335.2</v>
      </c>
      <c r="L499" s="5" t="n">
        <v>0</v>
      </c>
      <c r="M499" s="5" t="n">
        <v>83664.45</v>
      </c>
      <c r="N499" s="5" t="n">
        <v>366670.75</v>
      </c>
      <c r="O499" s="5" t="n">
        <v>366670.75</v>
      </c>
      <c r="P499" s="4" t="n"/>
      <c r="Q499" s="6" t="n">
        <v>0.186</v>
      </c>
      <c r="R499" s="6" t="n">
        <v>0.1858</v>
      </c>
    </row>
    <row r="500">
      <c r="A500" s="4" t="inlineStr">
        <is>
          <t>25-PC-43932</t>
        </is>
      </c>
      <c r="B500" s="4" t="inlineStr">
        <is>
          <t>Blue Heron Built Environment Survey</t>
        </is>
      </c>
      <c r="C500" s="4" t="inlineStr">
        <is>
          <t>Transferred Entity</t>
        </is>
      </c>
      <c r="D500" s="4" t="inlineStr">
        <is>
          <t>Time and material</t>
        </is>
      </c>
      <c r="E500" s="4" t="inlineStr">
        <is>
          <t>NH Gulf (USD)</t>
        </is>
      </c>
      <c r="F500" s="4" t="inlineStr">
        <is>
          <t>Susan Wilkins</t>
        </is>
      </c>
      <c r="G500" s="5" t="n">
        <v>35900</v>
      </c>
      <c r="H500" s="5" t="n">
        <v>24136.54933333333</v>
      </c>
      <c r="I500" s="5" t="n">
        <v>23610.32</v>
      </c>
      <c r="J500" s="5" t="n">
        <v>24656.25</v>
      </c>
      <c r="K500" s="5" t="n">
        <v>18135</v>
      </c>
      <c r="L500" s="5" t="n">
        <v>6521.25</v>
      </c>
      <c r="M500" s="5" t="n">
        <v>14873.81</v>
      </c>
      <c r="N500" s="5" t="n">
        <v>9782.440000000001</v>
      </c>
      <c r="O500" s="5" t="n">
        <v>3261.190000000001</v>
      </c>
      <c r="P500" s="4" t="n"/>
      <c r="Q500" s="6" t="n">
        <v>0.6723272794800371</v>
      </c>
      <c r="R500" s="6" t="n">
        <v>0.6032470468948036</v>
      </c>
    </row>
    <row r="501">
      <c r="A501" s="4" t="inlineStr">
        <is>
          <t>25-PC-43944</t>
        </is>
      </c>
      <c r="B501" s="4" t="inlineStr">
        <is>
          <t>Elk Meadow Data Recovery</t>
        </is>
      </c>
      <c r="C501" s="4" t="inlineStr">
        <is>
          <t>In Progress</t>
        </is>
      </c>
      <c r="D501" s="4" t="inlineStr">
        <is>
          <t>Fixed fee</t>
        </is>
      </c>
      <c r="E501" s="4" t="inlineStr">
        <is>
          <t>NH Gulf (USD)</t>
        </is>
      </c>
      <c r="F501" s="4" t="inlineStr">
        <is>
          <t>Vanessa Duarte</t>
        </is>
      </c>
      <c r="G501" s="5" t="n">
        <v>74800</v>
      </c>
      <c r="H501" s="5" t="n">
        <v>26741</v>
      </c>
      <c r="I501" s="5" t="n">
        <v>26741</v>
      </c>
      <c r="J501" s="5" t="n">
        <v>60460.84</v>
      </c>
      <c r="K501" s="5" t="n">
        <v>60460.84</v>
      </c>
      <c r="L501" s="5" t="n">
        <v>0</v>
      </c>
      <c r="M501" s="5" t="n">
        <v>21611.75</v>
      </c>
      <c r="N501" s="5" t="n">
        <v>38849.09</v>
      </c>
      <c r="O501" s="5" t="n">
        <v>38849.09</v>
      </c>
      <c r="P501" s="4" t="n"/>
      <c r="Q501" s="6" t="n">
        <v>0.357</v>
      </c>
      <c r="R501" s="6" t="n">
        <v>0.3575</v>
      </c>
    </row>
    <row r="502">
      <c r="A502" s="4" t="inlineStr">
        <is>
          <t>25-PC-43966</t>
        </is>
      </c>
      <c r="B502" s="4" t="inlineStr">
        <is>
          <t>Silver Lake Rail Siding - Cultural Resources Monitoring</t>
        </is>
      </c>
      <c r="C502" s="4" t="inlineStr">
        <is>
          <t>Transferred Entity</t>
        </is>
      </c>
      <c r="D502" s="4" t="inlineStr">
        <is>
          <t>Fixed fee</t>
        </is>
      </c>
      <c r="E502" s="4" t="inlineStr">
        <is>
          <t>NH Gulf (USD)</t>
        </is>
      </c>
      <c r="F502" s="4" t="inlineStr">
        <is>
          <t>Tonya Spence</t>
        </is>
      </c>
      <c r="G502" s="5" t="n">
        <v>47800</v>
      </c>
      <c r="H502" s="5" t="n">
        <v>37848.04</v>
      </c>
      <c r="I502" s="5" t="n">
        <v>34241.69866666666</v>
      </c>
      <c r="J502" s="5" t="n">
        <v>34547.14</v>
      </c>
      <c r="K502" s="5" t="n">
        <v>30211.65</v>
      </c>
      <c r="L502" s="5" t="n">
        <v>4335.49</v>
      </c>
      <c r="M502" s="5" t="n">
        <v>27353.21733333333</v>
      </c>
      <c r="N502" s="5" t="n">
        <v>7193.922666666665</v>
      </c>
      <c r="O502" s="5" t="n">
        <v>2858.432666666668</v>
      </c>
      <c r="P502" s="4" t="n"/>
      <c r="Q502" s="6" t="n">
        <v>0.7918000000000001</v>
      </c>
      <c r="R502" s="6" t="n">
        <v>0.7917650298500349</v>
      </c>
    </row>
    <row r="503">
      <c r="A503" s="4" t="inlineStr">
        <is>
          <t>25-PC-43993</t>
        </is>
      </c>
      <c r="B503" s="4" t="inlineStr">
        <is>
          <t>Timber Gap GIS Mapping</t>
        </is>
      </c>
      <c r="C503" s="4" t="inlineStr">
        <is>
          <t>Transferred Entity</t>
        </is>
      </c>
      <c r="D503" s="4" t="inlineStr">
        <is>
          <t>Fixed fee</t>
        </is>
      </c>
      <c r="E503" s="4" t="inlineStr">
        <is>
          <t>NH Gulf (USD)</t>
        </is>
      </c>
      <c r="F503" s="4" t="inlineStr">
        <is>
          <t>Javier Rangel</t>
        </is>
      </c>
      <c r="G503" s="5" t="n">
        <v>27900</v>
      </c>
      <c r="H503" s="5" t="n">
        <v>20428.37866666667</v>
      </c>
      <c r="I503" s="5" t="n">
        <v>19158.53066666667</v>
      </c>
      <c r="J503" s="5" t="n">
        <v>19669.5</v>
      </c>
      <c r="K503" s="5" t="n">
        <v>19669.5</v>
      </c>
      <c r="L503" s="5" t="n">
        <v>0</v>
      </c>
      <c r="M503" s="5" t="n">
        <v>14401.75</v>
      </c>
      <c r="N503" s="5" t="n">
        <v>5267.75</v>
      </c>
      <c r="O503" s="5" t="n">
        <v>5267.75</v>
      </c>
      <c r="P503" s="4" t="n"/>
      <c r="Q503" s="6" t="n">
        <v>0.7321999522102748</v>
      </c>
      <c r="R503" s="6" t="n">
        <v>0.7321868883296474</v>
      </c>
    </row>
    <row r="504">
      <c r="A504" s="4" t="inlineStr">
        <is>
          <t>25-PC-44046</t>
        </is>
      </c>
      <c r="B504" s="4" t="inlineStr">
        <is>
          <t>Kestrel Butte Section 106 Consultation</t>
        </is>
      </c>
      <c r="C504" s="4" t="inlineStr">
        <is>
          <t>Transferred Entity</t>
        </is>
      </c>
      <c r="D504" s="4" t="inlineStr">
        <is>
          <t>Fixed fee</t>
        </is>
      </c>
      <c r="E504" s="4" t="inlineStr">
        <is>
          <t>NH Gulf (USD)</t>
        </is>
      </c>
      <c r="F504" s="4" t="inlineStr">
        <is>
          <t>Randy Cantu</t>
        </is>
      </c>
      <c r="G504" s="5" t="n">
        <v>320300</v>
      </c>
      <c r="H504" s="5" t="n">
        <v>320300</v>
      </c>
      <c r="I504" s="5" t="n">
        <v>320300</v>
      </c>
      <c r="J504" s="5" t="n">
        <v>220526.55</v>
      </c>
      <c r="K504" s="5" t="n">
        <v>220526.55</v>
      </c>
      <c r="L504" s="5" t="n">
        <v>0</v>
      </c>
      <c r="M504" s="5" t="n">
        <v>276639.9</v>
      </c>
      <c r="N504" s="5" t="n">
        <v>-56113.35000000003</v>
      </c>
      <c r="O504" s="5" t="n">
        <v>-56113.35000000003</v>
      </c>
      <c r="P504" s="4" t="n"/>
      <c r="Q504" s="6" t="n">
        <v>1</v>
      </c>
      <c r="R504" s="6" t="n">
        <v>1.25445167486636</v>
      </c>
    </row>
    <row r="505">
      <c r="A505" s="4" t="inlineStr">
        <is>
          <t>25-PC-44186</t>
        </is>
      </c>
      <c r="B505" s="4" t="inlineStr">
        <is>
          <t>Falcon Mesa Section 106 Consultation</t>
        </is>
      </c>
      <c r="C505" s="4" t="inlineStr">
        <is>
          <t>Transferred Entity</t>
        </is>
      </c>
      <c r="D505" s="4" t="inlineStr">
        <is>
          <t>Fixed fee</t>
        </is>
      </c>
      <c r="E505" s="4" t="inlineStr">
        <is>
          <t>NH Gulf (USD)</t>
        </is>
      </c>
      <c r="F505" s="4" t="inlineStr">
        <is>
          <t>Randy Cantu</t>
        </is>
      </c>
      <c r="G505" s="5" t="n">
        <v>537000</v>
      </c>
      <c r="H505" s="5" t="n">
        <v>342015.3013333333</v>
      </c>
      <c r="I505" s="5" t="n">
        <v>342015.3013333333</v>
      </c>
      <c r="J505" s="5" t="n">
        <v>338148.9</v>
      </c>
      <c r="K505" s="5" t="n">
        <v>338148.9</v>
      </c>
      <c r="L505" s="5" t="n">
        <v>0</v>
      </c>
      <c r="M505" s="5" t="n">
        <v>215370.94</v>
      </c>
      <c r="N505" s="5" t="n">
        <v>122777.96</v>
      </c>
      <c r="O505" s="5" t="n">
        <v>122777.96</v>
      </c>
      <c r="P505" s="4" t="n"/>
      <c r="Q505" s="6" t="n">
        <v>0.6369000024829298</v>
      </c>
      <c r="R505" s="6" t="n">
        <v>0.6369115499118879</v>
      </c>
    </row>
    <row r="506">
      <c r="A506" s="4" t="inlineStr">
        <is>
          <t>25-PC-44198</t>
        </is>
      </c>
      <c r="B506" s="4" t="inlineStr">
        <is>
          <t>Task Order 2: Redbud Highway Widening GIS Mapping</t>
        </is>
      </c>
      <c r="C506" s="4" t="inlineStr">
        <is>
          <t>Transferred Entity</t>
        </is>
      </c>
      <c r="D506" s="4" t="inlineStr">
        <is>
          <t>Time and material</t>
        </is>
      </c>
      <c r="E506" s="4" t="inlineStr">
        <is>
          <t>NH Gulf (USD)</t>
        </is>
      </c>
      <c r="F506" s="4" t="inlineStr">
        <is>
          <t>Susan Wilkins</t>
        </is>
      </c>
      <c r="G506" s="5" t="n">
        <v>31100</v>
      </c>
      <c r="H506" s="5" t="n">
        <v>31100</v>
      </c>
      <c r="I506" s="5" t="n">
        <v>30922.86133333333</v>
      </c>
      <c r="J506" s="5" t="n">
        <v>17934.14</v>
      </c>
      <c r="K506" s="5" t="n">
        <v>13115.76</v>
      </c>
      <c r="L506" s="5" t="n">
        <v>4818.38</v>
      </c>
      <c r="M506" s="5" t="n">
        <v>31276.11733333334</v>
      </c>
      <c r="N506" s="5" t="n">
        <v>-13341.97733333334</v>
      </c>
      <c r="O506" s="5" t="n">
        <v>-18160.35733333333</v>
      </c>
      <c r="P506" s="4" t="n"/>
      <c r="Q506" s="6" t="n">
        <v>1</v>
      </c>
      <c r="R506" s="6" t="n">
        <v>1.743942967621159</v>
      </c>
    </row>
    <row r="507">
      <c r="A507" s="4" t="inlineStr">
        <is>
          <t>25-PC-44312</t>
        </is>
      </c>
      <c r="B507" s="4" t="inlineStr">
        <is>
          <t>Task Order 19: Millbrook Bridge Replacement Class III Survey</t>
        </is>
      </c>
      <c r="C507" s="4" t="inlineStr">
        <is>
          <t>In Progress</t>
        </is>
      </c>
      <c r="D507" s="4" t="inlineStr">
        <is>
          <t>Fixed fee</t>
        </is>
      </c>
      <c r="E507" s="4" t="inlineStr">
        <is>
          <t>NH Gulf (USD)</t>
        </is>
      </c>
      <c r="F507" s="4" t="inlineStr">
        <is>
          <t>Randy Cantu</t>
        </is>
      </c>
      <c r="G507" s="5" t="n">
        <v>97000</v>
      </c>
      <c r="H507" s="5" t="n">
        <v>97000</v>
      </c>
      <c r="I507" s="5" t="n">
        <v>91499.34</v>
      </c>
      <c r="J507" s="5" t="n">
        <v>71004</v>
      </c>
      <c r="K507" s="5" t="n">
        <v>71004</v>
      </c>
      <c r="L507" s="5" t="n">
        <v>0</v>
      </c>
      <c r="M507" s="5" t="n">
        <v>79042.17</v>
      </c>
      <c r="N507" s="5" t="n">
        <v>-8038.169999999998</v>
      </c>
      <c r="O507" s="5" t="n">
        <v>-8038.169999999998</v>
      </c>
      <c r="P507" s="4" t="n"/>
      <c r="Q507" s="6" t="n">
        <v>1</v>
      </c>
      <c r="R507" s="6" t="n">
        <v>1.1132</v>
      </c>
    </row>
    <row r="508">
      <c r="A508" s="4" t="inlineStr">
        <is>
          <t>26-PC-30013</t>
        </is>
      </c>
      <c r="B508" s="4" t="inlineStr">
        <is>
          <t>Windmill Flat Mine Expansion - Architectural History Survey</t>
        </is>
      </c>
      <c r="C508" s="4" t="inlineStr">
        <is>
          <t>Final Reporting/Review</t>
        </is>
      </c>
      <c r="D508" s="4" t="inlineStr">
        <is>
          <t>Time and material</t>
        </is>
      </c>
      <c r="E508" s="4" t="inlineStr">
        <is>
          <t>Big Sky</t>
        </is>
      </c>
      <c r="F508" s="4" t="inlineStr">
        <is>
          <t>Bob Frye</t>
        </is>
      </c>
      <c r="G508" s="5" t="n">
        <v>62300</v>
      </c>
      <c r="H508" s="5" t="n">
        <v>13942</v>
      </c>
      <c r="I508" s="5" t="n">
        <v>8607.190000000001</v>
      </c>
      <c r="J508" s="5" t="n">
        <v>43902.81</v>
      </c>
      <c r="K508" s="5" t="n">
        <v>43902.81</v>
      </c>
      <c r="L508" s="5" t="n">
        <v>0</v>
      </c>
      <c r="M508" s="5" t="n">
        <v>9546.49</v>
      </c>
      <c r="N508" s="5" t="n">
        <v>34356.32</v>
      </c>
      <c r="O508" s="5" t="n">
        <v>34356.32</v>
      </c>
      <c r="P508" s="4" t="n"/>
      <c r="Q508" s="6" t="n">
        <v>0.224</v>
      </c>
      <c r="R508" s="6" t="n">
        <v>0.2174</v>
      </c>
    </row>
    <row r="509">
      <c r="A509" s="4" t="inlineStr">
        <is>
          <t>26-PC-30057</t>
        </is>
      </c>
      <c r="B509" s="4" t="inlineStr">
        <is>
          <t>Sparrow Hill Environmental Review Support</t>
        </is>
      </c>
      <c r="C509" s="4" t="inlineStr">
        <is>
          <t>In Progress</t>
        </is>
      </c>
      <c r="D509" s="4" t="inlineStr">
        <is>
          <t>Time and material</t>
        </is>
      </c>
      <c r="E509" s="4" t="inlineStr">
        <is>
          <t>Big Sky</t>
        </is>
      </c>
      <c r="F509" s="4" t="inlineStr">
        <is>
          <t>Brendan Melton</t>
        </is>
      </c>
      <c r="G509" s="5" t="n">
        <v>197500</v>
      </c>
      <c r="H509" s="5" t="n">
        <v>104876.75</v>
      </c>
      <c r="I509" s="5" t="n">
        <v>81807.77</v>
      </c>
      <c r="J509" s="5" t="n">
        <v>144017</v>
      </c>
      <c r="K509" s="5" t="n">
        <v>144017</v>
      </c>
      <c r="L509" s="5" t="n">
        <v>0</v>
      </c>
      <c r="M509" s="5" t="n">
        <v>68917.84</v>
      </c>
      <c r="N509" s="5" t="n">
        <v>75099.16</v>
      </c>
      <c r="O509" s="5" t="n">
        <v>75099.16</v>
      </c>
      <c r="P509" s="4" t="n"/>
      <c r="Q509" s="6" t="n">
        <v>0.531</v>
      </c>
      <c r="R509" s="6" t="n">
        <v>0.4785</v>
      </c>
    </row>
    <row r="510">
      <c r="A510" s="4" t="inlineStr">
        <is>
          <t>26-PC-30065</t>
        </is>
      </c>
      <c r="B510" s="4" t="inlineStr">
        <is>
          <t>Granite Pass Water Main - Cultural Resources Assessment</t>
        </is>
      </c>
      <c r="C510" s="4" t="inlineStr">
        <is>
          <t>In Progress</t>
        </is>
      </c>
      <c r="D510" s="4" t="inlineStr">
        <is>
          <t>Fixed fee</t>
        </is>
      </c>
      <c r="E510" s="4" t="inlineStr">
        <is>
          <t>Big Sky</t>
        </is>
      </c>
      <c r="F510" s="4" t="inlineStr">
        <is>
          <t>Javier Estrada</t>
        </is>
      </c>
      <c r="G510" s="5" t="n">
        <v>132100</v>
      </c>
      <c r="H510" s="5" t="n">
        <v>26367.16</v>
      </c>
      <c r="I510" s="5" t="n">
        <v>20607.73</v>
      </c>
      <c r="J510" s="5" t="n">
        <v>104411.84</v>
      </c>
      <c r="K510" s="5" t="n">
        <v>104411.84</v>
      </c>
      <c r="L510" s="5" t="n">
        <v>0</v>
      </c>
      <c r="M510" s="5" t="n">
        <v>20838.3</v>
      </c>
      <c r="N510" s="5" t="n">
        <v>83573.53999999999</v>
      </c>
      <c r="O510" s="5" t="n">
        <v>83573.53999999999</v>
      </c>
      <c r="P510" s="4" t="n"/>
      <c r="Q510" s="6" t="n">
        <v>0.2</v>
      </c>
      <c r="R510" s="6" t="n">
        <v>0.1996</v>
      </c>
    </row>
    <row r="511">
      <c r="A511" s="4" t="inlineStr">
        <is>
          <t>26-PC-30094</t>
        </is>
      </c>
      <c r="B511" s="4" t="inlineStr">
        <is>
          <t>Sumac Ridge Wastewater Plant Paleontological Monitoring</t>
        </is>
      </c>
      <c r="C511" s="4" t="inlineStr">
        <is>
          <t>In Progress</t>
        </is>
      </c>
      <c r="D511" s="4" t="inlineStr">
        <is>
          <t>Fixed fee</t>
        </is>
      </c>
      <c r="E511" s="4" t="inlineStr">
        <is>
          <t>Big Sky</t>
        </is>
      </c>
      <c r="F511" s="4" t="inlineStr">
        <is>
          <t>Carl Barajas</t>
        </is>
      </c>
      <c r="G511" s="5" t="n">
        <v>98400</v>
      </c>
      <c r="H511" s="5" t="n">
        <v>3906.48</v>
      </c>
      <c r="I511" s="5" t="n">
        <v>1293.62</v>
      </c>
      <c r="J511" s="5" t="n">
        <v>82193.52</v>
      </c>
      <c r="K511" s="5" t="n">
        <v>82193.52</v>
      </c>
      <c r="L511" s="5" t="n">
        <v>0</v>
      </c>
      <c r="M511" s="5" t="n">
        <v>3266.46</v>
      </c>
      <c r="N511" s="5" t="n">
        <v>78927.06</v>
      </c>
      <c r="O511" s="5" t="n">
        <v>78927.06</v>
      </c>
      <c r="P511" s="4" t="n"/>
      <c r="Q511" s="6" t="n">
        <v>0.04</v>
      </c>
      <c r="R511" s="6" t="n">
        <v>0.0397</v>
      </c>
    </row>
    <row r="512">
      <c r="A512" s="4" t="inlineStr">
        <is>
          <t>26-PC-30123</t>
        </is>
      </c>
      <c r="B512" s="4" t="inlineStr">
        <is>
          <t>Eagle Bend Park Improvements - Class III Survey</t>
        </is>
      </c>
      <c r="C512" s="4" t="inlineStr">
        <is>
          <t>In Progress</t>
        </is>
      </c>
      <c r="D512" s="4" t="inlineStr">
        <is>
          <t>Fixed fee</t>
        </is>
      </c>
      <c r="E512" s="4" t="inlineStr">
        <is>
          <t>Big Sky</t>
        </is>
      </c>
      <c r="F512" s="4" t="inlineStr">
        <is>
          <t>Bob Frye</t>
        </is>
      </c>
      <c r="G512" s="5" t="n">
        <v>277200</v>
      </c>
      <c r="H512" s="5" t="n">
        <v>59237.64</v>
      </c>
      <c r="I512" s="5" t="n">
        <v>45677.97</v>
      </c>
      <c r="J512" s="5" t="n">
        <v>210477.96</v>
      </c>
      <c r="K512" s="5" t="n">
        <v>210477.96</v>
      </c>
      <c r="L512" s="5" t="n">
        <v>0</v>
      </c>
      <c r="M512" s="5" t="n">
        <v>44970.8</v>
      </c>
      <c r="N512" s="5" t="n">
        <v>165507.16</v>
      </c>
      <c r="O512" s="5" t="n">
        <v>165507.16</v>
      </c>
      <c r="P512" s="4" t="n"/>
      <c r="Q512" s="6" t="n">
        <v>0.214</v>
      </c>
      <c r="R512" s="6" t="n">
        <v>0.2137</v>
      </c>
    </row>
    <row r="513">
      <c r="A513" s="4" t="inlineStr">
        <is>
          <t>26-PC-30139</t>
        </is>
      </c>
      <c r="B513" s="4" t="inlineStr">
        <is>
          <t>Quail Run Canal Lining Phase I Survey</t>
        </is>
      </c>
      <c r="C513" s="4" t="inlineStr">
        <is>
          <t>In Progress</t>
        </is>
      </c>
      <c r="D513" s="4" t="inlineStr">
        <is>
          <t>Fixed fee</t>
        </is>
      </c>
      <c r="E513" s="4" t="inlineStr">
        <is>
          <t>Big Sky</t>
        </is>
      </c>
      <c r="F513" s="4" t="inlineStr">
        <is>
          <t>Javier Estrada</t>
        </is>
      </c>
      <c r="G513" s="5" t="n">
        <v>239600</v>
      </c>
      <c r="H513" s="5" t="n">
        <v>19168</v>
      </c>
      <c r="I513" s="5" t="n">
        <v>19168</v>
      </c>
      <c r="J513" s="5" t="n">
        <v>198628.4</v>
      </c>
      <c r="K513" s="5" t="n">
        <v>198628.4</v>
      </c>
      <c r="L513" s="5" t="n">
        <v>0</v>
      </c>
      <c r="M513" s="5" t="n">
        <v>15884.69</v>
      </c>
      <c r="N513" s="5" t="n">
        <v>182743.71</v>
      </c>
      <c r="O513" s="5" t="n">
        <v>182743.71</v>
      </c>
      <c r="P513" s="4" t="n"/>
      <c r="Q513" s="6" t="n">
        <v>0.08</v>
      </c>
      <c r="R513" s="6" t="n">
        <v>0.08</v>
      </c>
    </row>
    <row r="514">
      <c r="A514" s="4" t="inlineStr">
        <is>
          <t>26-PC-30180</t>
        </is>
      </c>
      <c r="B514" s="4" t="inlineStr">
        <is>
          <t>Willow Springs Architectural History Survey</t>
        </is>
      </c>
      <c r="C514" s="4" t="inlineStr">
        <is>
          <t>Lab/Curation</t>
        </is>
      </c>
      <c r="D514" s="4" t="inlineStr">
        <is>
          <t>Fixed fee</t>
        </is>
      </c>
      <c r="E514" s="4" t="inlineStr">
        <is>
          <t>Big Sky</t>
        </is>
      </c>
      <c r="F514" s="4" t="inlineStr">
        <is>
          <t>Carl Barajas</t>
        </is>
      </c>
      <c r="G514" s="5" t="n">
        <v>115700</v>
      </c>
      <c r="H514" s="5" t="n">
        <v>30024.15</v>
      </c>
      <c r="I514" s="5" t="n">
        <v>24550.75</v>
      </c>
      <c r="J514" s="5" t="n">
        <v>79798.28999999999</v>
      </c>
      <c r="K514" s="5" t="n">
        <v>79798.28999999999</v>
      </c>
      <c r="L514" s="5" t="n">
        <v>0</v>
      </c>
      <c r="M514" s="5" t="n">
        <v>20705.53</v>
      </c>
      <c r="N514" s="5" t="n">
        <v>59092.75999999999</v>
      </c>
      <c r="O514" s="5" t="n">
        <v>59092.75999999999</v>
      </c>
      <c r="P514" s="4" t="n"/>
      <c r="Q514" s="6" t="n">
        <v>0.26</v>
      </c>
      <c r="R514" s="6" t="n">
        <v>0.2595</v>
      </c>
    </row>
    <row r="515">
      <c r="A515" s="4" t="inlineStr">
        <is>
          <t>26-PC-30185</t>
        </is>
      </c>
      <c r="B515" s="4" t="inlineStr">
        <is>
          <t>Task Order 40: Cedar Hollow Cell Tower Curation</t>
        </is>
      </c>
      <c r="C515" s="4" t="inlineStr">
        <is>
          <t>Final Reporting/Review</t>
        </is>
      </c>
      <c r="D515" s="4" t="inlineStr">
        <is>
          <t>Fixed fee</t>
        </is>
      </c>
      <c r="E515" s="4" t="inlineStr">
        <is>
          <t>Big Sky</t>
        </is>
      </c>
      <c r="F515" s="4" t="inlineStr">
        <is>
          <t>Javier Estrada</t>
        </is>
      </c>
      <c r="G515" s="5" t="n">
        <v>53400</v>
      </c>
      <c r="H515" s="5" t="n">
        <v>3102.54</v>
      </c>
      <c r="I515" s="5" t="n">
        <v>0</v>
      </c>
      <c r="J515" s="5" t="n">
        <v>42447.66</v>
      </c>
      <c r="K515" s="5" t="n">
        <v>42447.66</v>
      </c>
      <c r="L515" s="5" t="n">
        <v>0</v>
      </c>
      <c r="M515" s="5" t="n">
        <v>2466.42</v>
      </c>
      <c r="N515" s="5" t="n">
        <v>39981.24000000001</v>
      </c>
      <c r="O515" s="5" t="n">
        <v>39981.24000000001</v>
      </c>
      <c r="P515" s="4" t="n"/>
      <c r="Q515" s="6" t="n">
        <v>0.058</v>
      </c>
      <c r="R515" s="6" t="n">
        <v>0.0581</v>
      </c>
    </row>
    <row r="516">
      <c r="A516" s="4" t="inlineStr">
        <is>
          <t>26-PC-30203</t>
        </is>
      </c>
      <c r="B516" s="4" t="inlineStr">
        <is>
          <t>Millbrook Pipeline Data Recovery</t>
        </is>
      </c>
      <c r="C516" s="4" t="inlineStr">
        <is>
          <t>In Progress</t>
        </is>
      </c>
      <c r="D516" s="4" t="inlineStr">
        <is>
          <t>Fixed fee</t>
        </is>
      </c>
      <c r="E516" s="4" t="inlineStr">
        <is>
          <t>Big Sky</t>
        </is>
      </c>
      <c r="F516" s="4" t="inlineStr">
        <is>
          <t>Carl Barajas</t>
        </is>
      </c>
      <c r="G516" s="5" t="n">
        <v>134800</v>
      </c>
      <c r="H516" s="5" t="n">
        <v>8721.559999999999</v>
      </c>
      <c r="I516" s="5" t="n">
        <v>7426.17</v>
      </c>
      <c r="J516" s="5" t="n">
        <v>102421.04</v>
      </c>
      <c r="K516" s="5" t="n">
        <v>102421.04</v>
      </c>
      <c r="L516" s="5" t="n">
        <v>0</v>
      </c>
      <c r="M516" s="5" t="n">
        <v>6626.59</v>
      </c>
      <c r="N516" s="5" t="n">
        <v>95794.45</v>
      </c>
      <c r="O516" s="5" t="n">
        <v>95794.45</v>
      </c>
      <c r="P516" s="4" t="n"/>
      <c r="Q516" s="6" t="n">
        <v>0.065</v>
      </c>
      <c r="R516" s="6" t="n">
        <v>0.06469999999999999</v>
      </c>
    </row>
    <row r="517">
      <c r="A517" s="4" t="inlineStr">
        <is>
          <t>26-PC-30211</t>
        </is>
      </c>
      <c r="B517" s="4" t="inlineStr">
        <is>
          <t>Copper Flats Paleontological Monitoring</t>
        </is>
      </c>
      <c r="C517" s="4" t="inlineStr">
        <is>
          <t>Lab/Curation</t>
        </is>
      </c>
      <c r="D517" s="4" t="inlineStr">
        <is>
          <t>Fixed fee</t>
        </is>
      </c>
      <c r="E517" s="4" t="inlineStr">
        <is>
          <t>Big Sky</t>
        </is>
      </c>
      <c r="F517" s="4" t="inlineStr">
        <is>
          <t>Javier Estrada</t>
        </is>
      </c>
      <c r="G517" s="5" t="n">
        <v>736100</v>
      </c>
      <c r="H517" s="5" t="n">
        <v>0</v>
      </c>
      <c r="I517" s="5" t="n">
        <v>0</v>
      </c>
      <c r="J517" s="5" t="n">
        <v>498404.34</v>
      </c>
      <c r="K517" s="5" t="n">
        <v>394730.97</v>
      </c>
      <c r="L517" s="5" t="n">
        <v>103673.37</v>
      </c>
      <c r="M517" s="5" t="n">
        <v>0</v>
      </c>
      <c r="N517" s="5" t="n">
        <v>498404.34</v>
      </c>
      <c r="O517" s="5" t="n">
        <v>394730.97</v>
      </c>
      <c r="P517" s="4" t="n"/>
      <c r="Q517" s="6" t="n">
        <v>0</v>
      </c>
      <c r="R517" s="6" t="n">
        <v>0</v>
      </c>
    </row>
    <row r="518">
      <c r="A518" s="4" t="inlineStr">
        <is>
          <t>26-PC-30273</t>
        </is>
      </c>
      <c r="B518" s="4" t="inlineStr">
        <is>
          <t>Task Order 40: Copper Flats Trail Class III Survey</t>
        </is>
      </c>
      <c r="C518" s="4" t="inlineStr">
        <is>
          <t>Lab/Curation</t>
        </is>
      </c>
      <c r="D518" s="4" t="inlineStr">
        <is>
          <t>Fixed fee</t>
        </is>
      </c>
      <c r="E518" s="4" t="inlineStr">
        <is>
          <t>Big Sky</t>
        </is>
      </c>
      <c r="F518" s="4" t="inlineStr">
        <is>
          <t>Bob Frye</t>
        </is>
      </c>
      <c r="G518" s="5" t="n">
        <v>77200</v>
      </c>
      <c r="H518" s="5" t="n">
        <v>6901.68</v>
      </c>
      <c r="I518" s="5" t="n">
        <v>6811.24</v>
      </c>
      <c r="J518" s="5" t="n">
        <v>53522.76</v>
      </c>
      <c r="K518" s="5" t="n">
        <v>53522.76</v>
      </c>
      <c r="L518" s="5" t="n">
        <v>0</v>
      </c>
      <c r="M518" s="5" t="n">
        <v>4782.94</v>
      </c>
      <c r="N518" s="5" t="n">
        <v>48739.82</v>
      </c>
      <c r="O518" s="5" t="n">
        <v>48739.82</v>
      </c>
      <c r="P518" s="4" t="n"/>
      <c r="Q518" s="6" t="n">
        <v>0.089</v>
      </c>
      <c r="R518" s="6" t="n">
        <v>0.08939999999999999</v>
      </c>
    </row>
    <row r="519">
      <c r="A519" s="4" t="inlineStr">
        <is>
          <t>26-PC-30287</t>
        </is>
      </c>
      <c r="B519" s="4" t="inlineStr">
        <is>
          <t>Task Order 40: Maple Fork Solar Historic Resources Evaluation</t>
        </is>
      </c>
      <c r="C519" s="4" t="inlineStr">
        <is>
          <t>In Progress</t>
        </is>
      </c>
      <c r="D519" s="4" t="inlineStr">
        <is>
          <t>Fixed fee</t>
        </is>
      </c>
      <c r="E519" s="4" t="inlineStr">
        <is>
          <t>Big Sky</t>
        </is>
      </c>
      <c r="F519" s="4" t="inlineStr">
        <is>
          <t>Javier Estrada</t>
        </is>
      </c>
      <c r="G519" s="5" t="n">
        <v>10100</v>
      </c>
      <c r="H519" s="5" t="n">
        <v>5081.31</v>
      </c>
      <c r="I519" s="5" t="n">
        <v>5081.31</v>
      </c>
      <c r="J519" s="5" t="n">
        <v>6193.32</v>
      </c>
      <c r="K519" s="5" t="n">
        <v>6193.32</v>
      </c>
      <c r="L519" s="5" t="n">
        <v>0</v>
      </c>
      <c r="M519" s="5" t="n">
        <v>3115.89</v>
      </c>
      <c r="N519" s="5" t="n">
        <v>3077.43</v>
      </c>
      <c r="O519" s="5" t="n">
        <v>3077.43</v>
      </c>
      <c r="P519" s="4" t="n"/>
      <c r="Q519" s="6" t="n">
        <v>0.503</v>
      </c>
      <c r="R519" s="6" t="n">
        <v>0.5031</v>
      </c>
    </row>
    <row r="520">
      <c r="A520" s="4" t="inlineStr">
        <is>
          <t>26-PC-30329</t>
        </is>
      </c>
      <c r="B520" s="4" t="inlineStr">
        <is>
          <t>Hackberry Bend Rail Siding Built Environment Survey</t>
        </is>
      </c>
      <c r="C520" s="4" t="inlineStr">
        <is>
          <t>In Progress</t>
        </is>
      </c>
      <c r="D520" s="4" t="inlineStr">
        <is>
          <t>Fixed fee</t>
        </is>
      </c>
      <c r="E520" s="4" t="inlineStr">
        <is>
          <t>Big Sky</t>
        </is>
      </c>
      <c r="F520" s="4" t="inlineStr">
        <is>
          <t>Javier Estrada</t>
        </is>
      </c>
      <c r="G520" s="5" t="n">
        <v>483600</v>
      </c>
      <c r="H520" s="5" t="n">
        <v>122060.64</v>
      </c>
      <c r="I520" s="5" t="n">
        <v>103417.88</v>
      </c>
      <c r="J520" s="5" t="n">
        <v>313904.76</v>
      </c>
      <c r="K520" s="5" t="n">
        <v>313904.76</v>
      </c>
      <c r="L520" s="5" t="n">
        <v>0</v>
      </c>
      <c r="M520" s="5" t="n">
        <v>79237.08</v>
      </c>
      <c r="N520" s="5" t="n">
        <v>234667.68</v>
      </c>
      <c r="O520" s="5" t="n">
        <v>234667.68</v>
      </c>
      <c r="P520" s="4" t="n"/>
      <c r="Q520" s="6" t="n">
        <v>0.252</v>
      </c>
      <c r="R520" s="6" t="n">
        <v>0.2524</v>
      </c>
    </row>
    <row r="521">
      <c r="A521" s="4" t="inlineStr">
        <is>
          <t>26-PC-30338</t>
        </is>
      </c>
      <c r="B521" s="4" t="inlineStr">
        <is>
          <t>On-Call: Saltgrass Mixed-Use Development Phase II Testing</t>
        </is>
      </c>
      <c r="C521" s="4" t="inlineStr">
        <is>
          <t>Lab/Curation</t>
        </is>
      </c>
      <c r="D521" s="4" t="inlineStr">
        <is>
          <t>Fixed fee</t>
        </is>
      </c>
      <c r="E521" s="4" t="inlineStr">
        <is>
          <t>Big Sky</t>
        </is>
      </c>
      <c r="F521" s="4" t="inlineStr">
        <is>
          <t>Brendan Melton</t>
        </is>
      </c>
      <c r="G521" s="5" t="n">
        <v>268300</v>
      </c>
      <c r="H521" s="5" t="n">
        <v>1529.31</v>
      </c>
      <c r="I521" s="5" t="n">
        <v>1529.31</v>
      </c>
      <c r="J521" s="5" t="n">
        <v>189811.91</v>
      </c>
      <c r="K521" s="5" t="n">
        <v>146074.38</v>
      </c>
      <c r="L521" s="5" t="n">
        <v>43737.53</v>
      </c>
      <c r="M521" s="5" t="n">
        <v>1089.39</v>
      </c>
      <c r="N521" s="5" t="n">
        <v>188722.52</v>
      </c>
      <c r="O521" s="5" t="n">
        <v>144984.99</v>
      </c>
      <c r="P521" s="4" t="n"/>
      <c r="Q521" s="6" t="n">
        <v>0.006</v>
      </c>
      <c r="R521" s="6" t="n">
        <v>0.0057</v>
      </c>
    </row>
    <row r="522">
      <c r="A522" s="4" t="inlineStr">
        <is>
          <t>26-PC-30349</t>
        </is>
      </c>
      <c r="B522" s="4" t="inlineStr">
        <is>
          <t>Phase I: Copper Flats Rail Siding Cultural Resources Monitoring</t>
        </is>
      </c>
      <c r="C522" s="4" t="inlineStr">
        <is>
          <t>In Progress</t>
        </is>
      </c>
      <c r="D522" s="4" t="inlineStr">
        <is>
          <t>Fixed fee</t>
        </is>
      </c>
      <c r="E522" s="4" t="inlineStr">
        <is>
          <t>Big Sky</t>
        </is>
      </c>
      <c r="F522" s="4" t="inlineStr">
        <is>
          <t>Brendan Melton</t>
        </is>
      </c>
      <c r="G522" s="5" t="n">
        <v>184200</v>
      </c>
      <c r="H522" s="5" t="n">
        <v>30853.5</v>
      </c>
      <c r="I522" s="5" t="n">
        <v>24917.81</v>
      </c>
      <c r="J522" s="5" t="n">
        <v>105343.98</v>
      </c>
      <c r="K522" s="5" t="n">
        <v>105343.98</v>
      </c>
      <c r="L522" s="5" t="n">
        <v>0</v>
      </c>
      <c r="M522" s="5" t="n">
        <v>17644.68</v>
      </c>
      <c r="N522" s="5" t="n">
        <v>87699.29999999999</v>
      </c>
      <c r="O522" s="5" t="n">
        <v>87699.29999999999</v>
      </c>
      <c r="P522" s="4" t="n"/>
      <c r="Q522" s="6" t="n">
        <v>0.168</v>
      </c>
      <c r="R522" s="6" t="n">
        <v>0.1675</v>
      </c>
    </row>
    <row r="523">
      <c r="A523" s="4" t="inlineStr">
        <is>
          <t>26-PC-30351</t>
        </is>
      </c>
      <c r="B523" s="4" t="inlineStr">
        <is>
          <t>Wildrye Architectural History Survey</t>
        </is>
      </c>
      <c r="C523" s="4" t="inlineStr">
        <is>
          <t>In Progress</t>
        </is>
      </c>
      <c r="D523" s="4" t="inlineStr">
        <is>
          <t>Fixed fee</t>
        </is>
      </c>
      <c r="E523" s="4" t="inlineStr">
        <is>
          <t>Big Sky</t>
        </is>
      </c>
      <c r="F523" s="4" t="inlineStr">
        <is>
          <t>Bob Frye</t>
        </is>
      </c>
      <c r="G523" s="5" t="n">
        <v>393800</v>
      </c>
      <c r="H523" s="5" t="n">
        <v>132710.6</v>
      </c>
      <c r="I523" s="5" t="n">
        <v>114207.61</v>
      </c>
      <c r="J523" s="5" t="n">
        <v>262900.88</v>
      </c>
      <c r="K523" s="5" t="n">
        <v>262900.88</v>
      </c>
      <c r="L523" s="5" t="n">
        <v>0</v>
      </c>
      <c r="M523" s="5" t="n">
        <v>88597.25</v>
      </c>
      <c r="N523" s="5" t="n">
        <v>174303.63</v>
      </c>
      <c r="O523" s="5" t="n">
        <v>174303.63</v>
      </c>
      <c r="P523" s="4" t="n"/>
      <c r="Q523" s="6" t="n">
        <v>0.337</v>
      </c>
      <c r="R523" s="6" t="n">
        <v>0.337</v>
      </c>
    </row>
    <row r="524">
      <c r="A524" s="4" t="inlineStr">
        <is>
          <t>26-PC-30396</t>
        </is>
      </c>
      <c r="B524" s="4" t="inlineStr">
        <is>
          <t>Tamarack Historic Resources Evaluation</t>
        </is>
      </c>
      <c r="C524" s="4" t="inlineStr">
        <is>
          <t>In Progress</t>
        </is>
      </c>
      <c r="D524" s="4" t="inlineStr">
        <is>
          <t>Fixed fee</t>
        </is>
      </c>
      <c r="E524" s="4" t="inlineStr">
        <is>
          <t>Big Sky</t>
        </is>
      </c>
      <c r="F524" s="4" t="inlineStr">
        <is>
          <t>Brendan Melton</t>
        </is>
      </c>
      <c r="G524" s="5" t="n">
        <v>31300</v>
      </c>
      <c r="H524" s="5" t="n">
        <v>0</v>
      </c>
      <c r="I524" s="5" t="n">
        <v>0</v>
      </c>
      <c r="J524" s="5" t="n">
        <v>23853.73</v>
      </c>
      <c r="K524" s="5" t="n">
        <v>23853.73</v>
      </c>
      <c r="L524" s="5" t="n">
        <v>0</v>
      </c>
      <c r="M524" s="5" t="n">
        <v>0</v>
      </c>
      <c r="N524" s="5" t="n">
        <v>23853.73</v>
      </c>
      <c r="O524" s="5" t="n">
        <v>23853.73</v>
      </c>
      <c r="P524" s="4" t="n"/>
      <c r="Q524" s="6" t="n">
        <v>0</v>
      </c>
      <c r="R524" s="6" t="n">
        <v>0</v>
      </c>
    </row>
    <row r="525">
      <c r="A525" s="4" t="inlineStr">
        <is>
          <t>26-PC-30402</t>
        </is>
      </c>
      <c r="B525" s="4" t="inlineStr">
        <is>
          <t>On-Call: Cedar Hollow Highway Widening Paleontological Monitoring</t>
        </is>
      </c>
      <c r="C525" s="4" t="inlineStr">
        <is>
          <t>Transferred Entity</t>
        </is>
      </c>
      <c r="D525" s="4" t="inlineStr">
        <is>
          <t>Time and material</t>
        </is>
      </c>
      <c r="E525" s="4" t="inlineStr">
        <is>
          <t>Big Sky</t>
        </is>
      </c>
      <c r="F525" s="4" t="inlineStr">
        <is>
          <t>Carl Barajas</t>
        </is>
      </c>
      <c r="G525" s="5" t="n">
        <v>151000</v>
      </c>
      <c r="H525" s="5" t="n">
        <v>0</v>
      </c>
      <c r="I525" s="5" t="n">
        <v>0</v>
      </c>
      <c r="J525" s="5" t="n">
        <v>118603.52</v>
      </c>
      <c r="K525" s="5" t="n">
        <v>90316.94</v>
      </c>
      <c r="L525" s="5" t="n">
        <v>28286.58</v>
      </c>
      <c r="M525" s="5" t="n">
        <v>0</v>
      </c>
      <c r="N525" s="5" t="n">
        <v>118603.52</v>
      </c>
      <c r="O525" s="5" t="n">
        <v>90316.94</v>
      </c>
      <c r="P525" s="4" t="n"/>
      <c r="Q525" s="6" t="n">
        <v>0</v>
      </c>
      <c r="R525" s="6" t="n">
        <v>0</v>
      </c>
    </row>
    <row r="526">
      <c r="A526" s="4" t="inlineStr">
        <is>
          <t>26-PC-30432</t>
        </is>
      </c>
      <c r="B526" s="4" t="inlineStr">
        <is>
          <t>On-Call: Foxglove Substation Cultural Resources Assessment</t>
        </is>
      </c>
      <c r="C526" s="4" t="inlineStr">
        <is>
          <t>Cost Tracking on Closed Project</t>
        </is>
      </c>
      <c r="D526" s="4" t="inlineStr">
        <is>
          <t>Time and material</t>
        </is>
      </c>
      <c r="E526" s="4" t="inlineStr">
        <is>
          <t>Big Sky</t>
        </is>
      </c>
      <c r="F526" s="4" t="inlineStr">
        <is>
          <t>Javier Estrada</t>
        </is>
      </c>
      <c r="G526" s="5" t="n">
        <v>93100</v>
      </c>
      <c r="H526" s="5" t="n">
        <v>0</v>
      </c>
      <c r="I526" s="5" t="n">
        <v>0</v>
      </c>
      <c r="J526" s="5" t="n">
        <v>63801.43</v>
      </c>
      <c r="K526" s="5" t="n">
        <v>63801.43</v>
      </c>
      <c r="L526" s="5" t="n">
        <v>0</v>
      </c>
      <c r="M526" s="5" t="n">
        <v>65021.47</v>
      </c>
      <c r="N526" s="5" t="n">
        <v>-1220.040000000001</v>
      </c>
      <c r="O526" s="5" t="n">
        <v>-1220.040000000001</v>
      </c>
      <c r="P526" s="4" t="n"/>
      <c r="Q526" s="6" t="n">
        <v>0</v>
      </c>
      <c r="R526" s="6" t="n">
        <v>1.0191</v>
      </c>
    </row>
    <row r="527">
      <c r="A527" s="4" t="inlineStr">
        <is>
          <t>26-PC-30457</t>
        </is>
      </c>
      <c r="B527" s="4" t="inlineStr">
        <is>
          <t>Wren Hollow Transmission Line - Data Recovery</t>
        </is>
      </c>
      <c r="C527" s="4" t="inlineStr">
        <is>
          <t>Final Reporting/Review</t>
        </is>
      </c>
      <c r="D527" s="4" t="inlineStr">
        <is>
          <t>Fixed fee</t>
        </is>
      </c>
      <c r="E527" s="4" t="inlineStr">
        <is>
          <t>Big Sky</t>
        </is>
      </c>
      <c r="F527" s="4" t="inlineStr">
        <is>
          <t>Bob Frye</t>
        </is>
      </c>
      <c r="G527" s="5" t="n">
        <v>719800</v>
      </c>
      <c r="H527" s="5" t="n">
        <v>120350.56</v>
      </c>
      <c r="I527" s="5" t="n">
        <v>120350.56</v>
      </c>
      <c r="J527" s="5" t="n">
        <v>547191.96</v>
      </c>
      <c r="K527" s="5" t="n">
        <v>547191.96</v>
      </c>
      <c r="L527" s="5" t="n">
        <v>0</v>
      </c>
      <c r="M527" s="5" t="n">
        <v>91469.2</v>
      </c>
      <c r="N527" s="5" t="n">
        <v>455722.76</v>
      </c>
      <c r="O527" s="5" t="n">
        <v>455722.76</v>
      </c>
      <c r="P527" s="4" t="n"/>
      <c r="Q527" s="6" t="n">
        <v>0.167</v>
      </c>
      <c r="R527" s="6" t="n">
        <v>0.1672</v>
      </c>
    </row>
    <row r="528">
      <c r="A528" s="4" t="inlineStr">
        <is>
          <t>26-PC-30501</t>
        </is>
      </c>
      <c r="B528" s="4" t="inlineStr">
        <is>
          <t>Hackberry Bend Bridge Replacement Architectural History Survey</t>
        </is>
      </c>
      <c r="C528" s="4" t="inlineStr">
        <is>
          <t>In Progress</t>
        </is>
      </c>
      <c r="D528" s="4" t="inlineStr">
        <is>
          <t>Fixed fee</t>
        </is>
      </c>
      <c r="E528" s="4" t="inlineStr">
        <is>
          <t>Big Sky</t>
        </is>
      </c>
      <c r="F528" s="4" t="inlineStr">
        <is>
          <t>Brendan Melton</t>
        </is>
      </c>
      <c r="G528" s="5" t="n">
        <v>19900</v>
      </c>
      <c r="H528" s="5" t="n">
        <v>19900</v>
      </c>
      <c r="I528" s="5" t="n">
        <v>19400.11</v>
      </c>
      <c r="J528" s="5" t="n">
        <v>14258.19</v>
      </c>
      <c r="K528" s="5" t="n">
        <v>12707.2</v>
      </c>
      <c r="L528" s="5" t="n">
        <v>1550.99</v>
      </c>
      <c r="M528" s="5" t="n">
        <v>18074.33</v>
      </c>
      <c r="N528" s="5" t="n">
        <v>-3816.140000000001</v>
      </c>
      <c r="O528" s="5" t="n">
        <v>-5367.130000000001</v>
      </c>
      <c r="P528" s="4" t="n"/>
      <c r="Q528" s="6" t="n">
        <v>1</v>
      </c>
      <c r="R528" s="6" t="n">
        <v>1.2676</v>
      </c>
    </row>
    <row r="529">
      <c r="A529" s="4" t="inlineStr">
        <is>
          <t>26-PC-30528</t>
        </is>
      </c>
      <c r="B529" s="4" t="inlineStr">
        <is>
          <t>Plover Cove School Campus Architectural History Survey</t>
        </is>
      </c>
      <c r="C529" s="4" t="inlineStr">
        <is>
          <t>In Progress</t>
        </is>
      </c>
      <c r="D529" s="4" t="inlineStr">
        <is>
          <t>Fixed fee</t>
        </is>
      </c>
      <c r="E529" s="4" t="inlineStr">
        <is>
          <t>Big Sky</t>
        </is>
      </c>
      <c r="F529" s="4" t="inlineStr">
        <is>
          <t>Javier Estrada</t>
        </is>
      </c>
      <c r="G529" s="5" t="n">
        <v>112900</v>
      </c>
      <c r="H529" s="5" t="n">
        <v>77009.09</v>
      </c>
      <c r="I529" s="5" t="n">
        <v>71440.49000000001</v>
      </c>
      <c r="J529" s="5" t="n">
        <v>74017.24000000001</v>
      </c>
      <c r="K529" s="5" t="n">
        <v>74017.24000000001</v>
      </c>
      <c r="L529" s="5" t="n">
        <v>0</v>
      </c>
      <c r="M529" s="5" t="n">
        <v>50490.81</v>
      </c>
      <c r="N529" s="5" t="n">
        <v>23526.43000000001</v>
      </c>
      <c r="O529" s="5" t="n">
        <v>23526.43000000001</v>
      </c>
      <c r="P529" s="4" t="n"/>
      <c r="Q529" s="6" t="n">
        <v>0.6820000000000001</v>
      </c>
      <c r="R529" s="6" t="n">
        <v>0.6821</v>
      </c>
    </row>
    <row r="530">
      <c r="A530" s="4" t="inlineStr">
        <is>
          <t>26-PC-30554</t>
        </is>
      </c>
      <c r="B530" s="4" t="inlineStr">
        <is>
          <t>Thistle Down Airport Apron Curation</t>
        </is>
      </c>
      <c r="C530" s="4" t="inlineStr">
        <is>
          <t>In Progress</t>
        </is>
      </c>
      <c r="D530" s="4" t="inlineStr">
        <is>
          <t>Fixed fee</t>
        </is>
      </c>
      <c r="E530" s="4" t="inlineStr">
        <is>
          <t>Big Sky</t>
        </is>
      </c>
      <c r="F530" s="4" t="inlineStr">
        <is>
          <t>Bob Frye</t>
        </is>
      </c>
      <c r="G530" s="5" t="n">
        <v>139800</v>
      </c>
      <c r="H530" s="5" t="n">
        <v>16678.14</v>
      </c>
      <c r="I530" s="5" t="n">
        <v>9641.870000000001</v>
      </c>
      <c r="J530" s="5" t="n">
        <v>79741.92</v>
      </c>
      <c r="K530" s="5" t="n">
        <v>79741.92</v>
      </c>
      <c r="L530" s="5" t="n">
        <v>0</v>
      </c>
      <c r="M530" s="5" t="n">
        <v>9511.950000000001</v>
      </c>
      <c r="N530" s="5" t="n">
        <v>70229.97</v>
      </c>
      <c r="O530" s="5" t="n">
        <v>70229.97</v>
      </c>
      <c r="P530" s="4" t="n"/>
      <c r="Q530" s="6" t="n">
        <v>0.119</v>
      </c>
      <c r="R530" s="6" t="n">
        <v>0.1193</v>
      </c>
    </row>
    <row r="531">
      <c r="A531" s="4" t="inlineStr">
        <is>
          <t>26-PC-30588</t>
        </is>
      </c>
      <c r="B531" s="4" t="inlineStr">
        <is>
          <t>Bramble Creek Fiber Route - Historic Resources Evaluation</t>
        </is>
      </c>
      <c r="C531" s="4" t="inlineStr">
        <is>
          <t>In Progress</t>
        </is>
      </c>
      <c r="D531" s="4" t="inlineStr">
        <is>
          <t>Fixed fee</t>
        </is>
      </c>
      <c r="E531" s="4" t="inlineStr">
        <is>
          <t>Bluegrass</t>
        </is>
      </c>
      <c r="F531" s="4" t="inlineStr">
        <is>
          <t>Alice Galloway</t>
        </is>
      </c>
      <c r="G531" s="5" t="n">
        <v>97000</v>
      </c>
      <c r="H531" s="5" t="n">
        <v>11795.2</v>
      </c>
      <c r="I531" s="5" t="n">
        <v>8704.540000000001</v>
      </c>
      <c r="J531" s="5" t="n">
        <v>75388.39999999999</v>
      </c>
      <c r="K531" s="5" t="n">
        <v>75388.39999999999</v>
      </c>
      <c r="L531" s="5" t="n">
        <v>0</v>
      </c>
      <c r="M531" s="5" t="n">
        <v>9168.73</v>
      </c>
      <c r="N531" s="5" t="n">
        <v>66219.67</v>
      </c>
      <c r="O531" s="5" t="n">
        <v>66219.67</v>
      </c>
      <c r="P531" s="4" t="n"/>
      <c r="Q531" s="6" t="n">
        <v>0.122</v>
      </c>
      <c r="R531" s="6" t="n">
        <v>0.1216</v>
      </c>
    </row>
    <row r="532">
      <c r="A532" s="4" t="inlineStr">
        <is>
          <t>26-PC-30602</t>
        </is>
      </c>
      <c r="B532" s="4" t="inlineStr">
        <is>
          <t>On-Call: Hawk Point Solar Cultural Resources Assessment</t>
        </is>
      </c>
      <c r="C532" s="4" t="inlineStr">
        <is>
          <t>In Progress</t>
        </is>
      </c>
      <c r="D532" s="4" t="inlineStr">
        <is>
          <t>Time and material</t>
        </is>
      </c>
      <c r="E532" s="4" t="inlineStr">
        <is>
          <t>Bluegrass</t>
        </is>
      </c>
      <c r="F532" s="4" t="inlineStr">
        <is>
          <t>Kiara Gillespie</t>
        </is>
      </c>
      <c r="G532" s="5" t="n">
        <v>211900</v>
      </c>
      <c r="H532" s="5" t="n">
        <v>55300</v>
      </c>
      <c r="I532" s="5" t="n">
        <v>46785.39</v>
      </c>
      <c r="J532" s="5" t="n">
        <v>152752.98</v>
      </c>
      <c r="K532" s="5" t="n">
        <v>141361.45</v>
      </c>
      <c r="L532" s="5" t="n">
        <v>11391.53</v>
      </c>
      <c r="M532" s="5" t="n">
        <v>35317.52</v>
      </c>
      <c r="N532" s="5" t="n">
        <v>117435.46</v>
      </c>
      <c r="O532" s="5" t="n">
        <v>106043.93</v>
      </c>
      <c r="P532" s="4" t="n"/>
      <c r="Q532" s="6" t="n">
        <v>0.261</v>
      </c>
      <c r="R532" s="6" t="n">
        <v>0.2312</v>
      </c>
    </row>
    <row r="533">
      <c r="A533" s="4" t="inlineStr">
        <is>
          <t>26-PC-30754</t>
        </is>
      </c>
      <c r="B533" s="4" t="inlineStr">
        <is>
          <t>On-Call: Kestrel Butte Highway Widening Archaeological Testing</t>
        </is>
      </c>
      <c r="C533" s="4" t="inlineStr">
        <is>
          <t>Final Reporting/Review</t>
        </is>
      </c>
      <c r="D533" s="4" t="inlineStr">
        <is>
          <t>Fixed fee</t>
        </is>
      </c>
      <c r="E533" s="4" t="inlineStr">
        <is>
          <t>Bluegrass</t>
        </is>
      </c>
      <c r="F533" s="4" t="inlineStr">
        <is>
          <t>Alice Galloway</t>
        </is>
      </c>
      <c r="G533" s="5" t="n">
        <v>153300</v>
      </c>
      <c r="H533" s="5" t="n">
        <v>12585.93</v>
      </c>
      <c r="I533" s="5" t="n">
        <v>3576.72</v>
      </c>
      <c r="J533" s="5" t="n">
        <v>106834.77</v>
      </c>
      <c r="K533" s="5" t="n">
        <v>106834.77</v>
      </c>
      <c r="L533" s="5" t="n">
        <v>0</v>
      </c>
      <c r="M533" s="5" t="n">
        <v>8772.629999999999</v>
      </c>
      <c r="N533" s="5" t="n">
        <v>98062.14</v>
      </c>
      <c r="O533" s="5" t="n">
        <v>98062.14</v>
      </c>
      <c r="P533" s="4" t="n"/>
      <c r="Q533" s="6" t="n">
        <v>0.082</v>
      </c>
      <c r="R533" s="6" t="n">
        <v>0.08210000000000001</v>
      </c>
    </row>
    <row r="534">
      <c r="A534" s="4" t="inlineStr">
        <is>
          <t>26-PC-30815</t>
        </is>
      </c>
      <c r="B534" s="4" t="inlineStr">
        <is>
          <t>Juniper Wash Water Main Archaeological Testing</t>
        </is>
      </c>
      <c r="C534" s="4" t="inlineStr">
        <is>
          <t>In Progress</t>
        </is>
      </c>
      <c r="D534" s="4" t="inlineStr">
        <is>
          <t>Fixed fee</t>
        </is>
      </c>
      <c r="E534" s="4" t="inlineStr">
        <is>
          <t>Bluegrass</t>
        </is>
      </c>
      <c r="F534" s="4" t="inlineStr">
        <is>
          <t>Kiara Gillespie</t>
        </is>
      </c>
      <c r="G534" s="5" t="n">
        <v>236000</v>
      </c>
      <c r="H534" s="5" t="n">
        <v>41040.4</v>
      </c>
      <c r="I534" s="5" t="n">
        <v>26899.17</v>
      </c>
      <c r="J534" s="5" t="n">
        <v>177731.6</v>
      </c>
      <c r="K534" s="5" t="n">
        <v>177731.6</v>
      </c>
      <c r="L534" s="5" t="n">
        <v>0</v>
      </c>
      <c r="M534" s="5" t="n">
        <v>30899.89</v>
      </c>
      <c r="N534" s="5" t="n">
        <v>146831.71</v>
      </c>
      <c r="O534" s="5" t="n">
        <v>146831.71</v>
      </c>
      <c r="P534" s="4" t="n"/>
      <c r="Q534" s="6" t="n">
        <v>0.174</v>
      </c>
      <c r="R534" s="6" t="n">
        <v>0.1739</v>
      </c>
    </row>
    <row r="535">
      <c r="A535" s="4" t="inlineStr">
        <is>
          <t>26-PC-30917</t>
        </is>
      </c>
      <c r="B535" s="4" t="inlineStr">
        <is>
          <t>Heron Marsh Harbor Dredging Environmental Review Support</t>
        </is>
      </c>
      <c r="C535" s="4" t="inlineStr">
        <is>
          <t>Cost Tracking on Closed Project</t>
        </is>
      </c>
      <c r="D535" s="4" t="inlineStr">
        <is>
          <t>Time and material</t>
        </is>
      </c>
      <c r="E535" s="4" t="inlineStr">
        <is>
          <t>Bluegrass</t>
        </is>
      </c>
      <c r="F535" s="4" t="inlineStr">
        <is>
          <t>Alice Galloway</t>
        </is>
      </c>
      <c r="G535" s="5" t="n">
        <v>209800</v>
      </c>
      <c r="H535" s="5" t="n">
        <v>0</v>
      </c>
      <c r="I535" s="5" t="n">
        <v>0</v>
      </c>
      <c r="J535" s="5" t="n">
        <v>135467.86</v>
      </c>
      <c r="K535" s="5" t="n">
        <v>135467.86</v>
      </c>
      <c r="L535" s="5" t="n">
        <v>0</v>
      </c>
      <c r="M535" s="5" t="n">
        <v>134699.95</v>
      </c>
      <c r="N535" s="5" t="n">
        <v>767.9099999999744</v>
      </c>
      <c r="O535" s="5" t="n">
        <v>767.9099999999744</v>
      </c>
      <c r="P535" s="4" t="n"/>
      <c r="Q535" s="6" t="n">
        <v>0</v>
      </c>
      <c r="R535" s="6" t="n">
        <v>0.9943</v>
      </c>
    </row>
    <row r="536">
      <c r="A536" s="4" t="inlineStr">
        <is>
          <t>26-PC-30945</t>
        </is>
      </c>
      <c r="B536" s="4" t="inlineStr">
        <is>
          <t>Wildrye Reservoir Architectural History Survey</t>
        </is>
      </c>
      <c r="C536" s="4" t="inlineStr">
        <is>
          <t>In Progress</t>
        </is>
      </c>
      <c r="D536" s="4" t="inlineStr">
        <is>
          <t>Fixed fee</t>
        </is>
      </c>
      <c r="E536" s="4" t="inlineStr">
        <is>
          <t>Bluegrass</t>
        </is>
      </c>
      <c r="F536" s="4" t="inlineStr">
        <is>
          <t>Kiara Gillespie</t>
        </is>
      </c>
      <c r="G536" s="5" t="n">
        <v>179500</v>
      </c>
      <c r="H536" s="5" t="n">
        <v>83772.64999999999</v>
      </c>
      <c r="I536" s="5" t="n">
        <v>69601.09</v>
      </c>
      <c r="J536" s="5" t="n">
        <v>120265</v>
      </c>
      <c r="K536" s="5" t="n">
        <v>120265</v>
      </c>
      <c r="L536" s="5" t="n">
        <v>0</v>
      </c>
      <c r="M536" s="5" t="n">
        <v>56121.76</v>
      </c>
      <c r="N536" s="5" t="n">
        <v>64143.24</v>
      </c>
      <c r="O536" s="5" t="n">
        <v>64143.24</v>
      </c>
      <c r="P536" s="4" t="n"/>
      <c r="Q536" s="6" t="n">
        <v>0.467</v>
      </c>
      <c r="R536" s="6" t="n">
        <v>0.4667</v>
      </c>
    </row>
    <row r="537">
      <c r="A537" s="4" t="inlineStr">
        <is>
          <t>26-PC-30967</t>
        </is>
      </c>
      <c r="B537" s="4" t="inlineStr">
        <is>
          <t>Timber Gap Pipeline - Built Environment Survey</t>
        </is>
      </c>
      <c r="C537" s="4" t="inlineStr">
        <is>
          <t>Final Reporting/Review</t>
        </is>
      </c>
      <c r="D537" s="4" t="inlineStr">
        <is>
          <t>Time and material</t>
        </is>
      </c>
      <c r="E537" s="4" t="inlineStr">
        <is>
          <t>Bluegrass</t>
        </is>
      </c>
      <c r="F537" s="4" t="inlineStr">
        <is>
          <t>Alice Galloway</t>
        </is>
      </c>
      <c r="G537" s="5" t="n">
        <v>173400</v>
      </c>
      <c r="H537" s="5" t="n">
        <v>145618.75</v>
      </c>
      <c r="I537" s="5" t="n">
        <v>132862.73</v>
      </c>
      <c r="J537" s="5" t="n">
        <v>108877.86</v>
      </c>
      <c r="K537" s="5" t="n">
        <v>108877.86</v>
      </c>
      <c r="L537" s="5" t="n">
        <v>0</v>
      </c>
      <c r="M537" s="5" t="n">
        <v>91606.14999999999</v>
      </c>
      <c r="N537" s="5" t="n">
        <v>17271.71000000001</v>
      </c>
      <c r="O537" s="5" t="n">
        <v>17271.71000000001</v>
      </c>
      <c r="P537" s="4" t="n"/>
      <c r="Q537" s="6" t="n">
        <v>0.84</v>
      </c>
      <c r="R537" s="6" t="n">
        <v>0.8414</v>
      </c>
    </row>
    <row r="538">
      <c r="A538" s="4" t="inlineStr">
        <is>
          <t>26-PC-31002</t>
        </is>
      </c>
      <c r="B538" s="4" t="inlineStr">
        <is>
          <t>North Fork Harbor Dredging Data Recovery</t>
        </is>
      </c>
      <c r="C538" s="4" t="inlineStr">
        <is>
          <t>In Progress</t>
        </is>
      </c>
      <c r="D538" s="4" t="inlineStr">
        <is>
          <t>Fixed fee</t>
        </is>
      </c>
      <c r="E538" s="4" t="inlineStr">
        <is>
          <t>Bluegrass</t>
        </is>
      </c>
      <c r="F538" s="4" t="inlineStr">
        <is>
          <t>Alice Galloway</t>
        </is>
      </c>
      <c r="G538" s="5" t="n">
        <v>211500</v>
      </c>
      <c r="H538" s="5" t="n">
        <v>29144.7</v>
      </c>
      <c r="I538" s="5" t="n">
        <v>13311.23</v>
      </c>
      <c r="J538" s="5" t="n">
        <v>164758.5</v>
      </c>
      <c r="K538" s="5" t="n">
        <v>164758.5</v>
      </c>
      <c r="L538" s="5" t="n">
        <v>0</v>
      </c>
      <c r="M538" s="5" t="n">
        <v>22695.69</v>
      </c>
      <c r="N538" s="5" t="n">
        <v>142062.81</v>
      </c>
      <c r="O538" s="5" t="n">
        <v>142062.81</v>
      </c>
      <c r="P538" s="4" t="n"/>
      <c r="Q538" s="6" t="n">
        <v>0.138</v>
      </c>
      <c r="R538" s="6" t="n">
        <v>0.1378</v>
      </c>
    </row>
    <row r="539">
      <c r="A539" s="4" t="inlineStr">
        <is>
          <t>26-PC-31037</t>
        </is>
      </c>
      <c r="B539" s="4" t="inlineStr">
        <is>
          <t>Cedar Hollow Cultural Resources Assessment</t>
        </is>
      </c>
      <c r="C539" s="4" t="inlineStr">
        <is>
          <t>In Progress</t>
        </is>
      </c>
      <c r="D539" s="4" t="inlineStr">
        <is>
          <t>Fixed fee</t>
        </is>
      </c>
      <c r="E539" s="4" t="inlineStr">
        <is>
          <t>Bluegrass</t>
        </is>
      </c>
      <c r="F539" s="4" t="inlineStr">
        <is>
          <t>Alice Galloway</t>
        </is>
      </c>
      <c r="G539" s="5" t="n">
        <v>168500</v>
      </c>
      <c r="H539" s="5" t="n">
        <v>63086.4</v>
      </c>
      <c r="I539" s="5" t="n">
        <v>52530.72</v>
      </c>
      <c r="J539" s="5" t="n">
        <v>131345.75</v>
      </c>
      <c r="K539" s="5" t="n">
        <v>131345.75</v>
      </c>
      <c r="L539" s="5" t="n">
        <v>0</v>
      </c>
      <c r="M539" s="5" t="n">
        <v>49181.51</v>
      </c>
      <c r="N539" s="5" t="n">
        <v>82164.23999999999</v>
      </c>
      <c r="O539" s="5" t="n">
        <v>82164.23999999999</v>
      </c>
      <c r="P539" s="4" t="n"/>
      <c r="Q539" s="6" t="n">
        <v>0.374</v>
      </c>
      <c r="R539" s="6" t="n">
        <v>0.3744</v>
      </c>
    </row>
    <row r="540">
      <c r="A540" s="4" t="inlineStr">
        <is>
          <t>26-PC-31064</t>
        </is>
      </c>
      <c r="B540" s="4" t="inlineStr">
        <is>
          <t>Quail Run Archaeological Testing</t>
        </is>
      </c>
      <c r="C540" s="4" t="inlineStr">
        <is>
          <t>Cost Tracking on Closed Project</t>
        </is>
      </c>
      <c r="D540" s="4" t="inlineStr">
        <is>
          <t>Fixed fee</t>
        </is>
      </c>
      <c r="E540" s="4" t="inlineStr">
        <is>
          <t>Cascade</t>
        </is>
      </c>
      <c r="F540" s="4" t="inlineStr">
        <is>
          <t>Gene Nixon</t>
        </is>
      </c>
      <c r="G540" s="5" t="n">
        <v>74500</v>
      </c>
      <c r="H540" s="5" t="n">
        <v>74500</v>
      </c>
      <c r="I540" s="5" t="n">
        <v>74500</v>
      </c>
      <c r="J540" s="5" t="n">
        <v>60394.3</v>
      </c>
      <c r="K540" s="5" t="n">
        <v>53043.19</v>
      </c>
      <c r="L540" s="5" t="n">
        <v>7351.11</v>
      </c>
      <c r="M540" s="5" t="n">
        <v>76340.83</v>
      </c>
      <c r="N540" s="5" t="n">
        <v>-15946.53</v>
      </c>
      <c r="O540" s="5" t="n">
        <v>-23297.64</v>
      </c>
      <c r="P540" s="4" t="n"/>
      <c r="Q540" s="6" t="n">
        <v>1</v>
      </c>
      <c r="R540" s="6" t="n">
        <v>1.264</v>
      </c>
    </row>
    <row r="541">
      <c r="A541" s="4" t="inlineStr">
        <is>
          <t>26-PC-31174</t>
        </is>
      </c>
      <c r="B541" s="4" t="inlineStr">
        <is>
          <t>Task Order 33: Tamarack Housing Development Data Recovery</t>
        </is>
      </c>
      <c r="C541" s="4" t="inlineStr">
        <is>
          <t>Cost Tracking on Closed Project</t>
        </is>
      </c>
      <c r="D541" s="4" t="inlineStr">
        <is>
          <t>Time and material</t>
        </is>
      </c>
      <c r="E541" s="4" t="inlineStr">
        <is>
          <t>Cascade</t>
        </is>
      </c>
      <c r="F541" s="4" t="inlineStr">
        <is>
          <t>Donald Lutz</t>
        </is>
      </c>
      <c r="G541" s="5" t="n">
        <v>4400</v>
      </c>
      <c r="H541" s="5" t="n">
        <v>0</v>
      </c>
      <c r="I541" s="5" t="n">
        <v>0</v>
      </c>
      <c r="J541" s="5" t="n">
        <v>2984.25</v>
      </c>
      <c r="K541" s="5" t="n">
        <v>2426.55</v>
      </c>
      <c r="L541" s="5" t="n">
        <v>557.7</v>
      </c>
      <c r="M541" s="5" t="n">
        <v>2714.71</v>
      </c>
      <c r="N541" s="5" t="n">
        <v>269.54</v>
      </c>
      <c r="O541" s="5" t="n">
        <v>-288.1599999999999</v>
      </c>
      <c r="P541" s="4" t="n"/>
      <c r="Q541" s="6" t="n">
        <v>0</v>
      </c>
      <c r="R541" s="6" t="n">
        <v>0.9097</v>
      </c>
    </row>
    <row r="542">
      <c r="A542" s="4" t="inlineStr">
        <is>
          <t>26-PC-31182</t>
        </is>
      </c>
      <c r="B542" s="4" t="inlineStr">
        <is>
          <t>Elk Meadow School Campus Curation</t>
        </is>
      </c>
      <c r="C542" s="4" t="inlineStr">
        <is>
          <t>In Progress</t>
        </is>
      </c>
      <c r="D542" s="4" t="inlineStr">
        <is>
          <t>Fixed fee</t>
        </is>
      </c>
      <c r="E542" s="4" t="inlineStr">
        <is>
          <t>Cascade</t>
        </is>
      </c>
      <c r="F542" s="4" t="inlineStr">
        <is>
          <t>Jeff Spence</t>
        </is>
      </c>
      <c r="G542" s="5" t="n">
        <v>73400</v>
      </c>
      <c r="H542" s="5" t="n">
        <v>8925.440000000001</v>
      </c>
      <c r="I542" s="5" t="n">
        <v>5265.51</v>
      </c>
      <c r="J542" s="5" t="n">
        <v>57596.98</v>
      </c>
      <c r="K542" s="5" t="n">
        <v>57596.98</v>
      </c>
      <c r="L542" s="5" t="n">
        <v>0</v>
      </c>
      <c r="M542" s="5" t="n">
        <v>7004.67</v>
      </c>
      <c r="N542" s="5" t="n">
        <v>50592.31</v>
      </c>
      <c r="O542" s="5" t="n">
        <v>50592.31</v>
      </c>
      <c r="P542" s="4" t="n"/>
      <c r="Q542" s="6" t="n">
        <v>0.122</v>
      </c>
      <c r="R542" s="6" t="n">
        <v>0.1216</v>
      </c>
    </row>
    <row r="543">
      <c r="A543" s="4" t="inlineStr">
        <is>
          <t>26-PC-31216</t>
        </is>
      </c>
      <c r="B543" s="4" t="inlineStr">
        <is>
          <t>On-Call: Saltgrass Fiber Route Environmental Review Support</t>
        </is>
      </c>
      <c r="C543" s="4" t="inlineStr">
        <is>
          <t>In Progress</t>
        </is>
      </c>
      <c r="D543" s="4" t="inlineStr">
        <is>
          <t>Time and material</t>
        </is>
      </c>
      <c r="E543" s="4" t="inlineStr">
        <is>
          <t>Cascade</t>
        </is>
      </c>
      <c r="F543" s="4" t="inlineStr">
        <is>
          <t>Preston Duarte</t>
        </is>
      </c>
      <c r="G543" s="5" t="n">
        <v>172400</v>
      </c>
      <c r="H543" s="5" t="n">
        <v>25313.25</v>
      </c>
      <c r="I543" s="5" t="n">
        <v>6773.41</v>
      </c>
      <c r="J543" s="5" t="n">
        <v>111025.6</v>
      </c>
      <c r="K543" s="5" t="n">
        <v>111025.6</v>
      </c>
      <c r="L543" s="5" t="n">
        <v>0</v>
      </c>
      <c r="M543" s="5" t="n">
        <v>16381.13</v>
      </c>
      <c r="N543" s="5" t="n">
        <v>94644.47</v>
      </c>
      <c r="O543" s="5" t="n">
        <v>94644.47</v>
      </c>
      <c r="P543" s="4" t="n"/>
      <c r="Q543" s="6" t="n">
        <v>0.147</v>
      </c>
      <c r="R543" s="6" t="n">
        <v>0.1475</v>
      </c>
    </row>
    <row r="544">
      <c r="A544" s="4" t="inlineStr">
        <is>
          <t>26-PC-31238</t>
        </is>
      </c>
      <c r="B544" s="4" t="inlineStr">
        <is>
          <t>Task Order 27: Wren Hollow Bridge Replacement Built Environment Survey</t>
        </is>
      </c>
      <c r="C544" s="4" t="inlineStr">
        <is>
          <t>In Progress</t>
        </is>
      </c>
      <c r="D544" s="4" t="inlineStr">
        <is>
          <t>Time and material</t>
        </is>
      </c>
      <c r="E544" s="4" t="inlineStr">
        <is>
          <t>Cascade</t>
        </is>
      </c>
      <c r="F544" s="4" t="inlineStr">
        <is>
          <t>Preston Duarte</t>
        </is>
      </c>
      <c r="G544" s="5" t="n">
        <v>832700</v>
      </c>
      <c r="H544" s="5" t="n">
        <v>154708.25</v>
      </c>
      <c r="I544" s="5" t="n">
        <v>129716.05</v>
      </c>
      <c r="J544" s="5" t="n">
        <v>533060.12</v>
      </c>
      <c r="K544" s="5" t="n">
        <v>386912.7</v>
      </c>
      <c r="L544" s="5" t="n">
        <v>146147.42</v>
      </c>
      <c r="M544" s="5" t="n">
        <v>91086.67</v>
      </c>
      <c r="N544" s="5" t="n">
        <v>441973.45</v>
      </c>
      <c r="O544" s="5" t="n">
        <v>295826.03</v>
      </c>
      <c r="P544" s="4" t="n"/>
      <c r="Q544" s="6" t="n">
        <v>0.186</v>
      </c>
      <c r="R544" s="6" t="n">
        <v>0.1709</v>
      </c>
    </row>
    <row r="545">
      <c r="A545" s="4" t="inlineStr">
        <is>
          <t>26-PC-31316</t>
        </is>
      </c>
      <c r="B545" s="4" t="inlineStr">
        <is>
          <t>Sparrow Hill Trail Architectural History Survey</t>
        </is>
      </c>
      <c r="C545" s="4" t="inlineStr">
        <is>
          <t>Final Reporting/Review</t>
        </is>
      </c>
      <c r="D545" s="4" t="inlineStr">
        <is>
          <t>Fixed fee</t>
        </is>
      </c>
      <c r="E545" s="4" t="inlineStr">
        <is>
          <t>Cascade</t>
        </is>
      </c>
      <c r="F545" s="4" t="inlineStr">
        <is>
          <t>Cassidy Gay</t>
        </is>
      </c>
      <c r="G545" s="5" t="n">
        <v>148200</v>
      </c>
      <c r="H545" s="5" t="n">
        <v>38117.04</v>
      </c>
      <c r="I545" s="5" t="n">
        <v>29984.37</v>
      </c>
      <c r="J545" s="5" t="n">
        <v>109860.66</v>
      </c>
      <c r="K545" s="5" t="n">
        <v>109860.66</v>
      </c>
      <c r="L545" s="5" t="n">
        <v>0</v>
      </c>
      <c r="M545" s="5" t="n">
        <v>28261.6</v>
      </c>
      <c r="N545" s="5" t="n">
        <v>81599.06</v>
      </c>
      <c r="O545" s="5" t="n">
        <v>81599.06</v>
      </c>
      <c r="P545" s="4" t="n"/>
      <c r="Q545" s="6" t="n">
        <v>0.257</v>
      </c>
      <c r="R545" s="6" t="n">
        <v>0.2572</v>
      </c>
    </row>
    <row r="546">
      <c r="A546" s="4" t="inlineStr">
        <is>
          <t>26-PC-31448</t>
        </is>
      </c>
      <c r="B546" s="4" t="inlineStr">
        <is>
          <t>Foxglove Class III Survey</t>
        </is>
      </c>
      <c r="C546" s="4" t="inlineStr">
        <is>
          <t>In Progress</t>
        </is>
      </c>
      <c r="D546" s="4" t="inlineStr">
        <is>
          <t>Fixed fee</t>
        </is>
      </c>
      <c r="E546" s="4" t="inlineStr">
        <is>
          <t>Cascade</t>
        </is>
      </c>
      <c r="F546" s="4" t="inlineStr">
        <is>
          <t>Gene Nixon</t>
        </is>
      </c>
      <c r="G546" s="5" t="n">
        <v>25800</v>
      </c>
      <c r="H546" s="5" t="n">
        <v>7216.26</v>
      </c>
      <c r="I546" s="5" t="n">
        <v>6639.74</v>
      </c>
      <c r="J546" s="5" t="n">
        <v>20065.31</v>
      </c>
      <c r="K546" s="5" t="n">
        <v>16136.4</v>
      </c>
      <c r="L546" s="5" t="n">
        <v>3928.91</v>
      </c>
      <c r="M546" s="5" t="n">
        <v>5612.5</v>
      </c>
      <c r="N546" s="5" t="n">
        <v>14452.81</v>
      </c>
      <c r="O546" s="5" t="n">
        <v>10523.9</v>
      </c>
      <c r="P546" s="4" t="n"/>
      <c r="Q546" s="6" t="n">
        <v>0.28</v>
      </c>
      <c r="R546" s="6" t="n">
        <v>0.2797</v>
      </c>
    </row>
    <row r="547">
      <c r="A547" s="4" t="inlineStr">
        <is>
          <t>26-PC-31473</t>
        </is>
      </c>
      <c r="B547" s="4" t="inlineStr">
        <is>
          <t>Plover Cove Mixed-Use Development - Curation</t>
        </is>
      </c>
      <c r="C547" s="4" t="inlineStr">
        <is>
          <t>In Progress</t>
        </is>
      </c>
      <c r="D547" s="4" t="inlineStr">
        <is>
          <t>Fixed fee</t>
        </is>
      </c>
      <c r="E547" s="4" t="inlineStr">
        <is>
          <t>Cascade</t>
        </is>
      </c>
      <c r="F547" s="4" t="inlineStr">
        <is>
          <t>Cassidy Gay</t>
        </is>
      </c>
      <c r="G547" s="5" t="n">
        <v>180800</v>
      </c>
      <c r="H547" s="5" t="n">
        <v>11119.2</v>
      </c>
      <c r="I547" s="5" t="n">
        <v>2976.07</v>
      </c>
      <c r="J547" s="5" t="n">
        <v>112403.36</v>
      </c>
      <c r="K547" s="5" t="n">
        <v>112403.36</v>
      </c>
      <c r="L547" s="5" t="n">
        <v>0</v>
      </c>
      <c r="M547" s="5" t="n">
        <v>6908.42</v>
      </c>
      <c r="N547" s="5" t="n">
        <v>105494.94</v>
      </c>
      <c r="O547" s="5" t="n">
        <v>105494.94</v>
      </c>
      <c r="P547" s="4" t="n"/>
      <c r="Q547" s="6" t="n">
        <v>0.062</v>
      </c>
      <c r="R547" s="6" t="n">
        <v>0.0615</v>
      </c>
    </row>
    <row r="548">
      <c r="A548" s="4" t="inlineStr">
        <is>
          <t>26-PC-31484</t>
        </is>
      </c>
      <c r="B548" s="4" t="inlineStr">
        <is>
          <t>Maple Fork Wastewater Plant Data Recovery</t>
        </is>
      </c>
      <c r="C548" s="4" t="inlineStr">
        <is>
          <t>In Progress</t>
        </is>
      </c>
      <c r="D548" s="4" t="inlineStr">
        <is>
          <t>Fixed fee</t>
        </is>
      </c>
      <c r="E548" s="4" t="inlineStr">
        <is>
          <t>Cascade</t>
        </is>
      </c>
      <c r="F548" s="4" t="inlineStr">
        <is>
          <t>Jean Cooke</t>
        </is>
      </c>
      <c r="G548" s="5" t="n">
        <v>31800</v>
      </c>
      <c r="H548" s="5" t="n">
        <v>8223.48</v>
      </c>
      <c r="I548" s="5" t="n">
        <v>7336.57</v>
      </c>
      <c r="J548" s="5" t="n">
        <v>23427.06</v>
      </c>
      <c r="K548" s="5" t="n">
        <v>23427.06</v>
      </c>
      <c r="L548" s="5" t="n">
        <v>0</v>
      </c>
      <c r="M548" s="5" t="n">
        <v>6057.36</v>
      </c>
      <c r="N548" s="5" t="n">
        <v>17369.7</v>
      </c>
      <c r="O548" s="5" t="n">
        <v>17369.7</v>
      </c>
      <c r="P548" s="4" t="n"/>
      <c r="Q548" s="6" t="n">
        <v>0.259</v>
      </c>
      <c r="R548" s="6" t="n">
        <v>0.2586</v>
      </c>
    </row>
    <row r="549">
      <c r="A549" s="4" t="inlineStr">
        <is>
          <t>26-PC-31505</t>
        </is>
      </c>
      <c r="B549" s="4" t="inlineStr">
        <is>
          <t>Raven Rock Levee Repair - Built Environment Survey</t>
        </is>
      </c>
      <c r="C549" s="4" t="inlineStr">
        <is>
          <t>In Progress</t>
        </is>
      </c>
      <c r="D549" s="4" t="inlineStr">
        <is>
          <t>Fixed fee</t>
        </is>
      </c>
      <c r="E549" s="4" t="inlineStr">
        <is>
          <t>Cascade</t>
        </is>
      </c>
      <c r="F549" s="4" t="inlineStr">
        <is>
          <t>Donald Lutz</t>
        </is>
      </c>
      <c r="G549" s="5" t="n">
        <v>44400</v>
      </c>
      <c r="H549" s="5" t="n">
        <v>31128.84</v>
      </c>
      <c r="I549" s="5" t="n">
        <v>30936.04</v>
      </c>
      <c r="J549" s="5" t="n">
        <v>34032.6</v>
      </c>
      <c r="K549" s="5" t="n">
        <v>34032.6</v>
      </c>
      <c r="L549" s="5" t="n">
        <v>0</v>
      </c>
      <c r="M549" s="5" t="n">
        <v>23861.11</v>
      </c>
      <c r="N549" s="5" t="n">
        <v>10171.49</v>
      </c>
      <c r="O549" s="5" t="n">
        <v>10171.49</v>
      </c>
      <c r="P549" s="4" t="n"/>
      <c r="Q549" s="6" t="n">
        <v>0.701</v>
      </c>
      <c r="R549" s="6" t="n">
        <v>0.7010999999999999</v>
      </c>
    </row>
    <row r="550">
      <c r="A550" s="4" t="inlineStr">
        <is>
          <t>26-PC-31537</t>
        </is>
      </c>
      <c r="B550" s="4" t="inlineStr">
        <is>
          <t>Raven Rock Park Improvements - Maritime Remote Sensing Survey</t>
        </is>
      </c>
      <c r="C550" s="4" t="inlineStr">
        <is>
          <t>In Progress</t>
        </is>
      </c>
      <c r="D550" s="4" t="inlineStr">
        <is>
          <t>Fixed fee</t>
        </is>
      </c>
      <c r="E550" s="4" t="inlineStr">
        <is>
          <t>Cascade</t>
        </is>
      </c>
      <c r="F550" s="4" t="inlineStr">
        <is>
          <t>Preston Duarte</t>
        </is>
      </c>
      <c r="G550" s="5" t="n">
        <v>87300</v>
      </c>
      <c r="H550" s="5" t="n">
        <v>4522.14</v>
      </c>
      <c r="I550" s="5" t="n">
        <v>3456.58</v>
      </c>
      <c r="J550" s="5" t="n">
        <v>54449.01</v>
      </c>
      <c r="K550" s="5" t="n">
        <v>54449.01</v>
      </c>
      <c r="L550" s="5" t="n">
        <v>0</v>
      </c>
      <c r="M550" s="5" t="n">
        <v>2823.15</v>
      </c>
      <c r="N550" s="5" t="n">
        <v>51625.86</v>
      </c>
      <c r="O550" s="5" t="n">
        <v>51625.86</v>
      </c>
      <c r="P550" s="4" t="n"/>
      <c r="Q550" s="6" t="n">
        <v>0.052</v>
      </c>
      <c r="R550" s="6" t="n">
        <v>0.0518</v>
      </c>
    </row>
    <row r="551">
      <c r="A551" s="4" t="inlineStr">
        <is>
          <t>26-PC-31568</t>
        </is>
      </c>
      <c r="B551" s="4" t="inlineStr">
        <is>
          <t>Sea Oat Housing Development - Section 106 Consultation</t>
        </is>
      </c>
      <c r="C551" s="4" t="inlineStr">
        <is>
          <t>In Progress</t>
        </is>
      </c>
      <c r="D551" s="4" t="inlineStr">
        <is>
          <t>Fixed fee</t>
        </is>
      </c>
      <c r="E551" s="4" t="inlineStr">
        <is>
          <t>Cascade</t>
        </is>
      </c>
      <c r="F551" s="4" t="inlineStr">
        <is>
          <t>Donald Lutz</t>
        </is>
      </c>
      <c r="G551" s="5" t="n">
        <v>229100</v>
      </c>
      <c r="H551" s="5" t="n">
        <v>38374.25</v>
      </c>
      <c r="I551" s="5" t="n">
        <v>31669.56</v>
      </c>
      <c r="J551" s="5" t="n">
        <v>148678.02</v>
      </c>
      <c r="K551" s="5" t="n">
        <v>119301</v>
      </c>
      <c r="L551" s="5" t="n">
        <v>29377.02</v>
      </c>
      <c r="M551" s="5" t="n">
        <v>24897.44</v>
      </c>
      <c r="N551" s="5" t="n">
        <v>123780.58</v>
      </c>
      <c r="O551" s="5" t="n">
        <v>94403.56</v>
      </c>
      <c r="P551" s="4" t="n"/>
      <c r="Q551" s="6" t="n">
        <v>0.168</v>
      </c>
      <c r="R551" s="6" t="n">
        <v>0.1675</v>
      </c>
    </row>
    <row r="552">
      <c r="A552" s="4" t="inlineStr">
        <is>
          <t>26-PC-31638</t>
        </is>
      </c>
      <c r="B552" s="4" t="inlineStr">
        <is>
          <t>Kestrel Butte Highway Widening - Cultural Resources Assessment</t>
        </is>
      </c>
      <c r="C552" s="4" t="inlineStr">
        <is>
          <t>In Progress</t>
        </is>
      </c>
      <c r="D552" s="4" t="inlineStr">
        <is>
          <t>Fixed fee</t>
        </is>
      </c>
      <c r="E552" s="4" t="inlineStr">
        <is>
          <t>Cascade</t>
        </is>
      </c>
      <c r="F552" s="4" t="inlineStr">
        <is>
          <t>Gene Nixon</t>
        </is>
      </c>
      <c r="G552" s="5" t="n">
        <v>170300</v>
      </c>
      <c r="H552" s="5" t="n">
        <v>21611.07</v>
      </c>
      <c r="I552" s="5" t="n">
        <v>13959.16</v>
      </c>
      <c r="J552" s="5" t="n">
        <v>108060.44</v>
      </c>
      <c r="K552" s="5" t="n">
        <v>100421.9</v>
      </c>
      <c r="L552" s="5" t="n">
        <v>7638.54</v>
      </c>
      <c r="M552" s="5" t="n">
        <v>13711.23</v>
      </c>
      <c r="N552" s="5" t="n">
        <v>94349.21000000001</v>
      </c>
      <c r="O552" s="5" t="n">
        <v>86710.67</v>
      </c>
      <c r="P552" s="4" t="n"/>
      <c r="Q552" s="6" t="n">
        <v>0.127</v>
      </c>
      <c r="R552" s="6" t="n">
        <v>0.1269</v>
      </c>
    </row>
    <row r="553">
      <c r="A553" s="4" t="inlineStr">
        <is>
          <t>26-PC-31648</t>
        </is>
      </c>
      <c r="B553" s="4" t="inlineStr">
        <is>
          <t>Rushgrass Draw Solar Data Recovery</t>
        </is>
      </c>
      <c r="C553" s="4" t="inlineStr">
        <is>
          <t>In Progress</t>
        </is>
      </c>
      <c r="D553" s="4" t="inlineStr">
        <is>
          <t>Fixed fee</t>
        </is>
      </c>
      <c r="E553" s="4" t="inlineStr">
        <is>
          <t>Cascade</t>
        </is>
      </c>
      <c r="F553" s="4" t="inlineStr">
        <is>
          <t>Jeff Spence</t>
        </is>
      </c>
      <c r="G553" s="5" t="n">
        <v>388400</v>
      </c>
      <c r="H553" s="5" t="n">
        <v>167672.28</v>
      </c>
      <c r="I553" s="5" t="n">
        <v>138803.11</v>
      </c>
      <c r="J553" s="5" t="n">
        <v>288425.84</v>
      </c>
      <c r="K553" s="5" t="n">
        <v>288425.84</v>
      </c>
      <c r="L553" s="5" t="n">
        <v>0</v>
      </c>
      <c r="M553" s="5" t="n">
        <v>124527.73</v>
      </c>
      <c r="N553" s="5" t="n">
        <v>163898.11</v>
      </c>
      <c r="O553" s="5" t="n">
        <v>163898.11</v>
      </c>
      <c r="P553" s="4" t="n"/>
      <c r="Q553" s="6" t="n">
        <v>0.432</v>
      </c>
      <c r="R553" s="6" t="n">
        <v>0.4317</v>
      </c>
    </row>
    <row r="554">
      <c r="A554" s="4" t="inlineStr">
        <is>
          <t>26-PC-31678</t>
        </is>
      </c>
      <c r="B554" s="4" t="inlineStr">
        <is>
          <t>Heron Marsh Wind Farm Phase I Survey</t>
        </is>
      </c>
      <c r="C554" s="4" t="inlineStr">
        <is>
          <t>In Progress</t>
        </is>
      </c>
      <c r="D554" s="4" t="inlineStr">
        <is>
          <t>Fixed fee</t>
        </is>
      </c>
      <c r="E554" s="4" t="inlineStr">
        <is>
          <t>Cascade</t>
        </is>
      </c>
      <c r="F554" s="4" t="inlineStr">
        <is>
          <t>Preston Duarte</t>
        </is>
      </c>
      <c r="G554" s="5" t="n">
        <v>892800</v>
      </c>
      <c r="H554" s="5" t="n">
        <v>297302.4</v>
      </c>
      <c r="I554" s="5" t="n">
        <v>267319.35</v>
      </c>
      <c r="J554" s="5" t="n">
        <v>641923.2</v>
      </c>
      <c r="K554" s="5" t="n">
        <v>641923.2</v>
      </c>
      <c r="L554" s="5" t="n">
        <v>0</v>
      </c>
      <c r="M554" s="5" t="n">
        <v>213779.38</v>
      </c>
      <c r="N554" s="5" t="n">
        <v>428143.8199999999</v>
      </c>
      <c r="O554" s="5" t="n">
        <v>428143.8199999999</v>
      </c>
      <c r="P554" s="4" t="n"/>
      <c r="Q554" s="6" t="n">
        <v>0.333</v>
      </c>
      <c r="R554" s="6" t="n">
        <v>0.333</v>
      </c>
    </row>
    <row r="555">
      <c r="A555" s="4" t="inlineStr">
        <is>
          <t>26-PC-31692</t>
        </is>
      </c>
      <c r="B555" s="4" t="inlineStr">
        <is>
          <t>Phase III: Meadowlark Reservoir Paleontological Monitoring</t>
        </is>
      </c>
      <c r="C555" s="4" t="inlineStr">
        <is>
          <t>In Progress</t>
        </is>
      </c>
      <c r="D555" s="4" t="inlineStr">
        <is>
          <t>Fixed fee</t>
        </is>
      </c>
      <c r="E555" s="4" t="inlineStr">
        <is>
          <t>Cascade</t>
        </is>
      </c>
      <c r="F555" s="4" t="inlineStr">
        <is>
          <t>Preston Duarte</t>
        </is>
      </c>
      <c r="G555" s="5" t="n">
        <v>615300</v>
      </c>
      <c r="H555" s="5" t="n">
        <v>36733.41</v>
      </c>
      <c r="I555" s="5" t="n">
        <v>14836.74</v>
      </c>
      <c r="J555" s="5" t="n">
        <v>423803.64</v>
      </c>
      <c r="K555" s="5" t="n">
        <v>362956.1</v>
      </c>
      <c r="L555" s="5" t="n">
        <v>60847.54</v>
      </c>
      <c r="M555" s="5" t="n">
        <v>25309.14</v>
      </c>
      <c r="N555" s="5" t="n">
        <v>398494.5</v>
      </c>
      <c r="O555" s="5" t="n">
        <v>337646.96</v>
      </c>
      <c r="P555" s="4" t="n"/>
      <c r="Q555" s="6" t="n">
        <v>0.06</v>
      </c>
      <c r="R555" s="6" t="n">
        <v>0.0597</v>
      </c>
    </row>
    <row r="556">
      <c r="A556" s="4" t="inlineStr">
        <is>
          <t>26-PC-31716</t>
        </is>
      </c>
      <c r="B556" s="4" t="inlineStr">
        <is>
          <t>Saltgrass Wind Farm Data Recovery</t>
        </is>
      </c>
      <c r="C556" s="4" t="inlineStr">
        <is>
          <t>In Progress</t>
        </is>
      </c>
      <c r="D556" s="4" t="inlineStr">
        <is>
          <t>Fixed fee</t>
        </is>
      </c>
      <c r="E556" s="4" t="inlineStr">
        <is>
          <t>Cascade</t>
        </is>
      </c>
      <c r="F556" s="4" t="inlineStr">
        <is>
          <t>Donald Lutz</t>
        </is>
      </c>
      <c r="G556" s="5" t="n">
        <v>13300</v>
      </c>
      <c r="H556" s="5" t="n">
        <v>3517.85</v>
      </c>
      <c r="I556" s="5" t="n">
        <v>2027.4</v>
      </c>
      <c r="J556" s="5" t="n">
        <v>9413.74</v>
      </c>
      <c r="K556" s="5" t="n">
        <v>9413.74</v>
      </c>
      <c r="L556" s="5" t="n">
        <v>0</v>
      </c>
      <c r="M556" s="5" t="n">
        <v>2489.99</v>
      </c>
      <c r="N556" s="5" t="n">
        <v>6923.75</v>
      </c>
      <c r="O556" s="5" t="n">
        <v>6923.75</v>
      </c>
      <c r="P556" s="4" t="n"/>
      <c r="Q556" s="6" t="n">
        <v>0.265</v>
      </c>
      <c r="R556" s="6" t="n">
        <v>0.2645</v>
      </c>
    </row>
    <row r="557">
      <c r="A557" s="4" t="inlineStr">
        <is>
          <t>26-PC-31728</t>
        </is>
      </c>
      <c r="B557" s="4" t="inlineStr">
        <is>
          <t>On-Call: Slate Ridge Housing Development Data Recovery</t>
        </is>
      </c>
      <c r="C557" s="4" t="inlineStr">
        <is>
          <t>In Progress</t>
        </is>
      </c>
      <c r="D557" s="4" t="inlineStr">
        <is>
          <t>Fixed fee</t>
        </is>
      </c>
      <c r="E557" s="4" t="inlineStr">
        <is>
          <t>Cascade</t>
        </is>
      </c>
      <c r="F557" s="4" t="inlineStr">
        <is>
          <t>Jeff Spence</t>
        </is>
      </c>
      <c r="G557" s="5" t="n">
        <v>38500</v>
      </c>
      <c r="H557" s="5" t="n">
        <v>1963.5</v>
      </c>
      <c r="I557" s="5" t="n">
        <v>332.4</v>
      </c>
      <c r="J557" s="5" t="n">
        <v>31042.55</v>
      </c>
      <c r="K557" s="5" t="n">
        <v>31042.55</v>
      </c>
      <c r="L557" s="5" t="n">
        <v>0</v>
      </c>
      <c r="M557" s="5" t="n">
        <v>1583.43</v>
      </c>
      <c r="N557" s="5" t="n">
        <v>29459.12</v>
      </c>
      <c r="O557" s="5" t="n">
        <v>29459.12</v>
      </c>
      <c r="P557" s="4" t="n"/>
      <c r="Q557" s="6" t="n">
        <v>0.051</v>
      </c>
      <c r="R557" s="6" t="n">
        <v>0.051</v>
      </c>
    </row>
    <row r="558">
      <c r="A558" s="4" t="inlineStr">
        <is>
          <t>26-PC-31802</t>
        </is>
      </c>
      <c r="B558" s="4" t="inlineStr">
        <is>
          <t>Bramble Creek Environmental Review Support</t>
        </is>
      </c>
      <c r="C558" s="4" t="inlineStr">
        <is>
          <t>Lab/Curation</t>
        </is>
      </c>
      <c r="D558" s="4" t="inlineStr">
        <is>
          <t>Fixed fee</t>
        </is>
      </c>
      <c r="E558" s="4" t="inlineStr">
        <is>
          <t>Cascade</t>
        </is>
      </c>
      <c r="F558" s="4" t="inlineStr">
        <is>
          <t>Jean Cooke</t>
        </is>
      </c>
      <c r="G558" s="5" t="n">
        <v>53700</v>
      </c>
      <c r="H558" s="5" t="n">
        <v>30651.96</v>
      </c>
      <c r="I558" s="5" t="n">
        <v>28674.1</v>
      </c>
      <c r="J558" s="5" t="n">
        <v>41655.09</v>
      </c>
      <c r="K558" s="5" t="n">
        <v>41655.09</v>
      </c>
      <c r="L558" s="5" t="n">
        <v>0</v>
      </c>
      <c r="M558" s="5" t="n">
        <v>23774.89</v>
      </c>
      <c r="N558" s="5" t="n">
        <v>17880.2</v>
      </c>
      <c r="O558" s="5" t="n">
        <v>17880.2</v>
      </c>
      <c r="P558" s="4" t="n"/>
      <c r="Q558" s="6" t="n">
        <v>0.571</v>
      </c>
      <c r="R558" s="6" t="n">
        <v>0.5708</v>
      </c>
    </row>
    <row r="559">
      <c r="A559" s="4" t="inlineStr">
        <is>
          <t>26-PC-31823</t>
        </is>
      </c>
      <c r="B559" s="4" t="inlineStr">
        <is>
          <t>Slate Ridge Phase II Testing</t>
        </is>
      </c>
      <c r="C559" s="4" t="inlineStr">
        <is>
          <t>Final Reporting/Review</t>
        </is>
      </c>
      <c r="D559" s="4" t="inlineStr">
        <is>
          <t>Fixed fee</t>
        </is>
      </c>
      <c r="E559" s="4" t="inlineStr">
        <is>
          <t>Cascade</t>
        </is>
      </c>
      <c r="F559" s="4" t="inlineStr">
        <is>
          <t>Jeff Spence</t>
        </is>
      </c>
      <c r="G559" s="5" t="n">
        <v>173900</v>
      </c>
      <c r="H559" s="5" t="n">
        <v>16068.36</v>
      </c>
      <c r="I559" s="5" t="n">
        <v>5114.84</v>
      </c>
      <c r="J559" s="5" t="n">
        <v>122721.23</v>
      </c>
      <c r="K559" s="5" t="n">
        <v>122721.23</v>
      </c>
      <c r="L559" s="5" t="n">
        <v>0</v>
      </c>
      <c r="M559" s="5" t="n">
        <v>11344.92</v>
      </c>
      <c r="N559" s="5" t="n">
        <v>111376.31</v>
      </c>
      <c r="O559" s="5" t="n">
        <v>111376.31</v>
      </c>
      <c r="P559" s="4" t="n"/>
      <c r="Q559" s="6" t="n">
        <v>0.092</v>
      </c>
      <c r="R559" s="6" t="n">
        <v>0.0924</v>
      </c>
    </row>
    <row r="560">
      <c r="A560" s="4" t="inlineStr">
        <is>
          <t>26-PC-31830</t>
        </is>
      </c>
      <c r="B560" s="4" t="inlineStr">
        <is>
          <t>Ember Valley Archaeological Testing</t>
        </is>
      </c>
      <c r="C560" s="4" t="inlineStr">
        <is>
          <t>Transferred Entity</t>
        </is>
      </c>
      <c r="D560" s="4" t="inlineStr">
        <is>
          <t>Fixed fee</t>
        </is>
      </c>
      <c r="E560" s="4" t="inlineStr">
        <is>
          <t>Cascade</t>
        </is>
      </c>
      <c r="F560" s="4" t="inlineStr">
        <is>
          <t>Cassidy Gay</t>
        </is>
      </c>
      <c r="G560" s="5" t="n">
        <v>86700</v>
      </c>
      <c r="H560" s="5" t="n">
        <v>40211.46</v>
      </c>
      <c r="I560" s="5" t="n">
        <v>31491.18</v>
      </c>
      <c r="J560" s="5" t="n">
        <v>59425.39</v>
      </c>
      <c r="K560" s="5" t="n">
        <v>54460.35</v>
      </c>
      <c r="L560" s="5" t="n">
        <v>4965.04</v>
      </c>
      <c r="M560" s="5" t="n">
        <v>27563.45</v>
      </c>
      <c r="N560" s="5" t="n">
        <v>31861.94</v>
      </c>
      <c r="O560" s="5" t="n">
        <v>26896.9</v>
      </c>
      <c r="P560" s="4" t="n"/>
      <c r="Q560" s="6" t="n">
        <v>0.464</v>
      </c>
      <c r="R560" s="6" t="n">
        <v>0.4638</v>
      </c>
    </row>
    <row r="561">
      <c r="A561" s="4" t="inlineStr">
        <is>
          <t>26-PC-31872</t>
        </is>
      </c>
      <c r="B561" s="4" t="inlineStr">
        <is>
          <t>Sumac Ridge Water Main Archaeological Testing</t>
        </is>
      </c>
      <c r="C561" s="4" t="inlineStr">
        <is>
          <t>Lab/Curation</t>
        </is>
      </c>
      <c r="D561" s="4" t="inlineStr">
        <is>
          <t>Fixed fee</t>
        </is>
      </c>
      <c r="E561" s="4" t="inlineStr">
        <is>
          <t>Cascade</t>
        </is>
      </c>
      <c r="F561" s="4" t="inlineStr">
        <is>
          <t>Donald Lutz</t>
        </is>
      </c>
      <c r="G561" s="5" t="n">
        <v>63800</v>
      </c>
      <c r="H561" s="5" t="n">
        <v>33546.04</v>
      </c>
      <c r="I561" s="5" t="n">
        <v>30533.41</v>
      </c>
      <c r="J561" s="5" t="n">
        <v>45642.52</v>
      </c>
      <c r="K561" s="5" t="n">
        <v>45642.52</v>
      </c>
      <c r="L561" s="5" t="n">
        <v>0</v>
      </c>
      <c r="M561" s="5" t="n">
        <v>24000.95</v>
      </c>
      <c r="N561" s="5" t="n">
        <v>21641.57</v>
      </c>
      <c r="O561" s="5" t="n">
        <v>21641.57</v>
      </c>
      <c r="P561" s="4" t="n"/>
      <c r="Q561" s="6" t="n">
        <v>0.526</v>
      </c>
      <c r="R561" s="6" t="n">
        <v>0.5258</v>
      </c>
    </row>
    <row r="562">
      <c r="A562" s="4" t="inlineStr">
        <is>
          <t>26-PC-31881</t>
        </is>
      </c>
      <c r="B562" s="4" t="inlineStr">
        <is>
          <t>Fern Valley Rail Siding Cultural Resources Monitoring</t>
        </is>
      </c>
      <c r="C562" s="4" t="inlineStr">
        <is>
          <t>In Progress</t>
        </is>
      </c>
      <c r="D562" s="4" t="inlineStr">
        <is>
          <t>Fixed fee</t>
        </is>
      </c>
      <c r="E562" s="4" t="inlineStr">
        <is>
          <t>Cascade</t>
        </is>
      </c>
      <c r="F562" s="4" t="inlineStr">
        <is>
          <t>Jean Cooke</t>
        </is>
      </c>
      <c r="G562" s="5" t="n">
        <v>125300</v>
      </c>
      <c r="H562" s="5" t="n">
        <v>0</v>
      </c>
      <c r="I562" s="5" t="n">
        <v>0</v>
      </c>
      <c r="J562" s="5" t="n">
        <v>94955.60000000001</v>
      </c>
      <c r="K562" s="5" t="n">
        <v>80579.84</v>
      </c>
      <c r="L562" s="5" t="n">
        <v>14375.76</v>
      </c>
      <c r="M562" s="5" t="n">
        <v>0</v>
      </c>
      <c r="N562" s="5" t="n">
        <v>94955.60000000001</v>
      </c>
      <c r="O562" s="5" t="n">
        <v>80579.84</v>
      </c>
      <c r="P562" s="4" t="n"/>
      <c r="Q562" s="6" t="n">
        <v>0</v>
      </c>
      <c r="R562" s="6" t="n">
        <v>0</v>
      </c>
    </row>
    <row r="563">
      <c r="A563" s="4" t="inlineStr">
        <is>
          <t>26-PC-32047</t>
        </is>
      </c>
      <c r="B563" s="4" t="inlineStr">
        <is>
          <t>On-Call: Sumac Ridge Mine Expansion Paleontological Monitoring</t>
        </is>
      </c>
      <c r="C563" s="4" t="inlineStr">
        <is>
          <t>In Progress</t>
        </is>
      </c>
      <c r="D563" s="4" t="inlineStr">
        <is>
          <t>Fixed fee</t>
        </is>
      </c>
      <c r="E563" s="4" t="inlineStr">
        <is>
          <t>Chesapeake</t>
        </is>
      </c>
      <c r="F563" s="4" t="inlineStr">
        <is>
          <t>Ian Maddox</t>
        </is>
      </c>
      <c r="G563" s="5" t="n">
        <v>73200</v>
      </c>
      <c r="H563" s="5" t="n">
        <v>51181.44</v>
      </c>
      <c r="I563" s="5" t="n">
        <v>43002</v>
      </c>
      <c r="J563" s="5" t="n">
        <v>51825.6</v>
      </c>
      <c r="K563" s="5" t="n">
        <v>51825.6</v>
      </c>
      <c r="L563" s="5" t="n">
        <v>0</v>
      </c>
      <c r="M563" s="5" t="n">
        <v>36238.56</v>
      </c>
      <c r="N563" s="5" t="n">
        <v>15587.04</v>
      </c>
      <c r="O563" s="5" t="n">
        <v>15587.04</v>
      </c>
      <c r="P563" s="4" t="n"/>
      <c r="Q563" s="6" t="n">
        <v>0.699</v>
      </c>
      <c r="R563" s="6" t="n">
        <v>0.6992</v>
      </c>
    </row>
    <row r="564">
      <c r="A564" s="4" t="inlineStr">
        <is>
          <t>26-PC-32069</t>
        </is>
      </c>
      <c r="B564" s="4" t="inlineStr">
        <is>
          <t>Task Order 25: Heron Marsh Wind Farm Maritime Remote Sensing Survey</t>
        </is>
      </c>
      <c r="C564" s="4" t="inlineStr">
        <is>
          <t>Transferred Entity</t>
        </is>
      </c>
      <c r="D564" s="4" t="inlineStr">
        <is>
          <t>Fixed fee</t>
        </is>
      </c>
      <c r="E564" s="4" t="inlineStr">
        <is>
          <t>Chesapeake</t>
        </is>
      </c>
      <c r="F564" s="4" t="inlineStr">
        <is>
          <t>Sandy Kerr</t>
        </is>
      </c>
      <c r="G564" s="5" t="n">
        <v>844700</v>
      </c>
      <c r="H564" s="5" t="n">
        <v>65802.13</v>
      </c>
      <c r="I564" s="5" t="n">
        <v>59477.56</v>
      </c>
      <c r="J564" s="5" t="n">
        <v>646026.5600000001</v>
      </c>
      <c r="K564" s="5" t="n">
        <v>646026.5600000001</v>
      </c>
      <c r="L564" s="5" t="n">
        <v>0</v>
      </c>
      <c r="M564" s="5" t="n">
        <v>50316.32</v>
      </c>
      <c r="N564" s="5" t="n">
        <v>595710.2400000001</v>
      </c>
      <c r="O564" s="5" t="n">
        <v>595710.2400000001</v>
      </c>
      <c r="P564" s="4" t="n"/>
      <c r="Q564" s="6" t="n">
        <v>0.078</v>
      </c>
      <c r="R564" s="6" t="n">
        <v>0.0779</v>
      </c>
    </row>
    <row r="565">
      <c r="A565" s="4" t="inlineStr">
        <is>
          <t>26-PC-32094</t>
        </is>
      </c>
      <c r="B565" s="4" t="inlineStr">
        <is>
          <t>Maple Fork Trail - Phase II Testing</t>
        </is>
      </c>
      <c r="C565" s="4" t="inlineStr">
        <is>
          <t>In Progress</t>
        </is>
      </c>
      <c r="D565" s="4" t="inlineStr">
        <is>
          <t>Time and material</t>
        </is>
      </c>
      <c r="E565" s="4" t="inlineStr">
        <is>
          <t>Chesapeake</t>
        </is>
      </c>
      <c r="F565" s="4" t="inlineStr">
        <is>
          <t>Bryan Mann</t>
        </is>
      </c>
      <c r="G565" s="5" t="n">
        <v>19000</v>
      </c>
      <c r="H565" s="5" t="n">
        <v>8805.75</v>
      </c>
      <c r="I565" s="5" t="n">
        <v>8805.75</v>
      </c>
      <c r="J565" s="5" t="n">
        <v>11274.6</v>
      </c>
      <c r="K565" s="5" t="n">
        <v>11274.6</v>
      </c>
      <c r="L565" s="5" t="n">
        <v>0</v>
      </c>
      <c r="M565" s="5" t="n">
        <v>5989.44</v>
      </c>
      <c r="N565" s="5" t="n">
        <v>5285.160000000001</v>
      </c>
      <c r="O565" s="5" t="n">
        <v>5285.160000000001</v>
      </c>
      <c r="P565" s="4" t="n"/>
      <c r="Q565" s="6" t="n">
        <v>0.463</v>
      </c>
      <c r="R565" s="6" t="n">
        <v>0.5312</v>
      </c>
    </row>
    <row r="566">
      <c r="A566" s="4" t="inlineStr">
        <is>
          <t>26-PC-32165</t>
        </is>
      </c>
      <c r="B566" s="4" t="inlineStr">
        <is>
          <t>Juniper Wash Park Improvements - Data Recovery</t>
        </is>
      </c>
      <c r="C566" s="4" t="inlineStr">
        <is>
          <t>In Progress</t>
        </is>
      </c>
      <c r="D566" s="4" t="inlineStr">
        <is>
          <t>Time and material</t>
        </is>
      </c>
      <c r="E566" s="4" t="inlineStr">
        <is>
          <t>Chesapeake</t>
        </is>
      </c>
      <c r="F566" s="4" t="inlineStr">
        <is>
          <t>Jason Oconnor</t>
        </is>
      </c>
      <c r="G566" s="5" t="n">
        <v>501000</v>
      </c>
      <c r="H566" s="5" t="n">
        <v>13806</v>
      </c>
      <c r="I566" s="5" t="n">
        <v>3832.67</v>
      </c>
      <c r="J566" s="5" t="n">
        <v>394086.6</v>
      </c>
      <c r="K566" s="5" t="n">
        <v>394086.6</v>
      </c>
      <c r="L566" s="5" t="n">
        <v>0</v>
      </c>
      <c r="M566" s="5" t="n">
        <v>10370.06</v>
      </c>
      <c r="N566" s="5" t="n">
        <v>383716.54</v>
      </c>
      <c r="O566" s="5" t="n">
        <v>383716.54</v>
      </c>
      <c r="P566" s="4" t="n"/>
      <c r="Q566" s="6" t="n">
        <v>0.028</v>
      </c>
      <c r="R566" s="6" t="n">
        <v>0.0263</v>
      </c>
    </row>
    <row r="567">
      <c r="A567" s="4" t="inlineStr">
        <is>
          <t>26-PC-32188</t>
        </is>
      </c>
      <c r="B567" s="4" t="inlineStr">
        <is>
          <t>Creosote Draw Reservoir Curation</t>
        </is>
      </c>
      <c r="C567" s="4" t="inlineStr">
        <is>
          <t>In Progress</t>
        </is>
      </c>
      <c r="D567" s="4" t="inlineStr">
        <is>
          <t>Fixed fee</t>
        </is>
      </c>
      <c r="E567" s="4" t="inlineStr">
        <is>
          <t>Chesapeake</t>
        </is>
      </c>
      <c r="F567" s="4" t="inlineStr">
        <is>
          <t>Ian Maddox</t>
        </is>
      </c>
      <c r="G567" s="5" t="n">
        <v>91500</v>
      </c>
      <c r="H567" s="5" t="n">
        <v>0</v>
      </c>
      <c r="I567" s="5" t="n">
        <v>0</v>
      </c>
      <c r="J567" s="5" t="n">
        <v>74856.14999999999</v>
      </c>
      <c r="K567" s="5" t="n">
        <v>74856.14999999999</v>
      </c>
      <c r="L567" s="5" t="n">
        <v>0</v>
      </c>
      <c r="M567" s="5" t="n">
        <v>0</v>
      </c>
      <c r="N567" s="5" t="n">
        <v>74856.14999999999</v>
      </c>
      <c r="O567" s="5" t="n">
        <v>74856.14999999999</v>
      </c>
      <c r="P567" s="4" t="n"/>
      <c r="Q567" s="6" t="n">
        <v>0</v>
      </c>
      <c r="R567" s="6" t="n">
        <v>0</v>
      </c>
    </row>
    <row r="568">
      <c r="A568" s="4" t="inlineStr">
        <is>
          <t>26-PC-32288</t>
        </is>
      </c>
      <c r="B568" s="4" t="inlineStr">
        <is>
          <t>Quail Run Solar - Architectural History Survey</t>
        </is>
      </c>
      <c r="C568" s="4" t="inlineStr">
        <is>
          <t>In Progress</t>
        </is>
      </c>
      <c r="D568" s="4" t="inlineStr">
        <is>
          <t>Fixed fee</t>
        </is>
      </c>
      <c r="E568" s="4" t="inlineStr">
        <is>
          <t>Chesapeake</t>
        </is>
      </c>
      <c r="F568" s="4" t="inlineStr">
        <is>
          <t>Ian Maddox</t>
        </is>
      </c>
      <c r="G568" s="5" t="n">
        <v>400500</v>
      </c>
      <c r="H568" s="5" t="n">
        <v>4365.45</v>
      </c>
      <c r="I568" s="5" t="n">
        <v>2126.22</v>
      </c>
      <c r="J568" s="5" t="n">
        <v>287318.7</v>
      </c>
      <c r="K568" s="5" t="n">
        <v>287318.7</v>
      </c>
      <c r="L568" s="5" t="n">
        <v>0</v>
      </c>
      <c r="M568" s="5" t="n">
        <v>3140.21</v>
      </c>
      <c r="N568" s="5" t="n">
        <v>284178.49</v>
      </c>
      <c r="O568" s="5" t="n">
        <v>284178.49</v>
      </c>
      <c r="P568" s="4" t="n"/>
      <c r="Q568" s="6" t="n">
        <v>0.011</v>
      </c>
      <c r="R568" s="6" t="n">
        <v>0.0109</v>
      </c>
    </row>
    <row r="569">
      <c r="A569" s="4" t="inlineStr">
        <is>
          <t>26-PC-32303</t>
        </is>
      </c>
      <c r="B569" s="4" t="inlineStr">
        <is>
          <t>Lone Pine Housing Development - Archaeological Testing</t>
        </is>
      </c>
      <c r="C569" s="4" t="inlineStr">
        <is>
          <t>In Progress</t>
        </is>
      </c>
      <c r="D569" s="4" t="inlineStr">
        <is>
          <t>Time and material</t>
        </is>
      </c>
      <c r="E569" s="4" t="inlineStr">
        <is>
          <t>Chesapeake</t>
        </is>
      </c>
      <c r="F569" s="4" t="inlineStr">
        <is>
          <t>Ian Maddox</t>
        </is>
      </c>
      <c r="G569" s="5" t="n">
        <v>18700</v>
      </c>
      <c r="H569" s="5" t="n">
        <v>816</v>
      </c>
      <c r="I569" s="5" t="n">
        <v>277.36</v>
      </c>
      <c r="J569" s="5" t="n">
        <v>13411.64</v>
      </c>
      <c r="K569" s="5" t="n">
        <v>13411.64</v>
      </c>
      <c r="L569" s="5" t="n">
        <v>0</v>
      </c>
      <c r="M569" s="5" t="n">
        <v>852.48</v>
      </c>
      <c r="N569" s="5" t="n">
        <v>12559.16</v>
      </c>
      <c r="O569" s="5" t="n">
        <v>12559.16</v>
      </c>
      <c r="P569" s="4" t="n"/>
      <c r="Q569" s="6" t="n">
        <v>0.044</v>
      </c>
      <c r="R569" s="6" t="n">
        <v>0.0636</v>
      </c>
    </row>
    <row r="570">
      <c r="A570" s="4" t="inlineStr">
        <is>
          <t>26-PC-32322</t>
        </is>
      </c>
      <c r="B570" s="4" t="inlineStr">
        <is>
          <t>Foxglove Fiber Route - Curation</t>
        </is>
      </c>
      <c r="C570" s="4" t="inlineStr">
        <is>
          <t>In Progress</t>
        </is>
      </c>
      <c r="D570" s="4" t="inlineStr">
        <is>
          <t>Fixed fee</t>
        </is>
      </c>
      <c r="E570" s="4" t="inlineStr">
        <is>
          <t>Chesapeake</t>
        </is>
      </c>
      <c r="F570" s="4" t="inlineStr">
        <is>
          <t>Sandy Kerr</t>
        </is>
      </c>
      <c r="G570" s="5" t="n">
        <v>317500</v>
      </c>
      <c r="H570" s="5" t="n">
        <v>39751</v>
      </c>
      <c r="I570" s="5" t="n">
        <v>37103.87</v>
      </c>
      <c r="J570" s="5" t="n">
        <v>244665.5</v>
      </c>
      <c r="K570" s="5" t="n">
        <v>244665.5</v>
      </c>
      <c r="L570" s="5" t="n">
        <v>0</v>
      </c>
      <c r="M570" s="5" t="n">
        <v>30629.91</v>
      </c>
      <c r="N570" s="5" t="n">
        <v>214035.59</v>
      </c>
      <c r="O570" s="5" t="n">
        <v>214035.59</v>
      </c>
      <c r="P570" s="4" t="n"/>
      <c r="Q570" s="6" t="n">
        <v>0.125</v>
      </c>
      <c r="R570" s="6" t="n">
        <v>0.1252</v>
      </c>
    </row>
    <row r="571">
      <c r="A571" s="4" t="inlineStr">
        <is>
          <t>26-PC-32369</t>
        </is>
      </c>
      <c r="B571" s="4" t="inlineStr">
        <is>
          <t>Twin Buttes Water Main - Phase I Survey</t>
        </is>
      </c>
      <c r="C571" s="4" t="inlineStr">
        <is>
          <t>In Progress</t>
        </is>
      </c>
      <c r="D571" s="4" t="inlineStr">
        <is>
          <t>Fixed fee</t>
        </is>
      </c>
      <c r="E571" s="4" t="inlineStr">
        <is>
          <t>Chesapeake</t>
        </is>
      </c>
      <c r="F571" s="4" t="inlineStr">
        <is>
          <t>Ian Maddox</t>
        </is>
      </c>
      <c r="G571" s="5" t="n">
        <v>730600</v>
      </c>
      <c r="H571" s="5" t="n">
        <v>71233.5</v>
      </c>
      <c r="I571" s="5" t="n">
        <v>65269.21</v>
      </c>
      <c r="J571" s="5" t="n">
        <v>470798.64</v>
      </c>
      <c r="K571" s="5" t="n">
        <v>470798.64</v>
      </c>
      <c r="L571" s="5" t="n">
        <v>0</v>
      </c>
      <c r="M571" s="5" t="n">
        <v>45896.51</v>
      </c>
      <c r="N571" s="5" t="n">
        <v>424902.13</v>
      </c>
      <c r="O571" s="5" t="n">
        <v>424902.13</v>
      </c>
      <c r="P571" s="4" t="n"/>
      <c r="Q571" s="6" t="n">
        <v>0.098</v>
      </c>
      <c r="R571" s="6" t="n">
        <v>0.0975</v>
      </c>
    </row>
    <row r="572">
      <c r="A572" s="4" t="inlineStr">
        <is>
          <t>26-PC-32394</t>
        </is>
      </c>
      <c r="B572" s="4" t="inlineStr">
        <is>
          <t>Timber Gap Highway Widening Paleontological Monitoring</t>
        </is>
      </c>
      <c r="C572" s="4" t="inlineStr">
        <is>
          <t>In Progress</t>
        </is>
      </c>
      <c r="D572" s="4" t="inlineStr">
        <is>
          <t>Time and material</t>
        </is>
      </c>
      <c r="E572" s="4" t="inlineStr">
        <is>
          <t>Chesapeake</t>
        </is>
      </c>
      <c r="F572" s="4" t="inlineStr">
        <is>
          <t>Bryan Mann</t>
        </is>
      </c>
      <c r="G572" s="5" t="n">
        <v>13700</v>
      </c>
      <c r="H572" s="5" t="n">
        <v>13700</v>
      </c>
      <c r="I572" s="5" t="n">
        <v>13641.82</v>
      </c>
      <c r="J572" s="5" t="n">
        <v>9522.870000000001</v>
      </c>
      <c r="K572" s="5" t="n">
        <v>9522.870000000001</v>
      </c>
      <c r="L572" s="5" t="n">
        <v>0</v>
      </c>
      <c r="M572" s="5" t="n">
        <v>31103.81</v>
      </c>
      <c r="N572" s="5" t="n">
        <v>-21580.94</v>
      </c>
      <c r="O572" s="5" t="n">
        <v>-21580.94</v>
      </c>
      <c r="P572" s="4" t="n"/>
      <c r="Q572" s="6" t="n">
        <v>1</v>
      </c>
      <c r="R572" s="6" t="n">
        <v>3.2662</v>
      </c>
    </row>
    <row r="573">
      <c r="A573" s="4" t="inlineStr">
        <is>
          <t>26-PC-32396</t>
        </is>
      </c>
      <c r="B573" s="4" t="inlineStr">
        <is>
          <t>On-Call: Copper Flats Mixed-Use Development Curation</t>
        </is>
      </c>
      <c r="C573" s="4" t="inlineStr">
        <is>
          <t>Final Reporting/Review</t>
        </is>
      </c>
      <c r="D573" s="4" t="inlineStr">
        <is>
          <t>Time and material</t>
        </is>
      </c>
      <c r="E573" s="4" t="inlineStr">
        <is>
          <t>Chesapeake</t>
        </is>
      </c>
      <c r="F573" s="4" t="inlineStr">
        <is>
          <t>Sandy Kerr</t>
        </is>
      </c>
      <c r="G573" s="5" t="n">
        <v>205600</v>
      </c>
      <c r="H573" s="5" t="n">
        <v>5224.75</v>
      </c>
      <c r="I573" s="5" t="n">
        <v>2772.21</v>
      </c>
      <c r="J573" s="5" t="n">
        <v>152123.45</v>
      </c>
      <c r="K573" s="5" t="n">
        <v>136826.23</v>
      </c>
      <c r="L573" s="5" t="n">
        <v>15297.22</v>
      </c>
      <c r="M573" s="5" t="n">
        <v>3555.36</v>
      </c>
      <c r="N573" s="5" t="n">
        <v>148568.09</v>
      </c>
      <c r="O573" s="5" t="n">
        <v>133270.87</v>
      </c>
      <c r="P573" s="4" t="n"/>
      <c r="Q573" s="6" t="n">
        <v>0.025</v>
      </c>
      <c r="R573" s="6" t="n">
        <v>0.0234</v>
      </c>
    </row>
    <row r="574">
      <c r="A574" s="4" t="inlineStr">
        <is>
          <t>26-PC-32420</t>
        </is>
      </c>
      <c r="B574" s="4" t="inlineStr">
        <is>
          <t>Phase I: Copper Flats Water Main Architectural History Survey</t>
        </is>
      </c>
      <c r="C574" s="4" t="inlineStr">
        <is>
          <t>In Progress</t>
        </is>
      </c>
      <c r="D574" s="4" t="inlineStr">
        <is>
          <t>Fixed fee</t>
        </is>
      </c>
      <c r="E574" s="4" t="inlineStr">
        <is>
          <t>Chesapeake</t>
        </is>
      </c>
      <c r="F574" s="4" t="inlineStr">
        <is>
          <t>Alexandria Wilkinson</t>
        </is>
      </c>
      <c r="G574" s="5" t="n">
        <v>324200</v>
      </c>
      <c r="H574" s="5" t="n">
        <v>13843.34</v>
      </c>
      <c r="I574" s="5" t="n">
        <v>4463.06</v>
      </c>
      <c r="J574" s="5" t="n">
        <v>246926.01</v>
      </c>
      <c r="K574" s="5" t="n">
        <v>225112.5</v>
      </c>
      <c r="L574" s="5" t="n">
        <v>21813.51</v>
      </c>
      <c r="M574" s="5" t="n">
        <v>10551.41</v>
      </c>
      <c r="N574" s="5" t="n">
        <v>236374.6</v>
      </c>
      <c r="O574" s="5" t="n">
        <v>214561.09</v>
      </c>
      <c r="P574" s="4" t="n"/>
      <c r="Q574" s="6" t="n">
        <v>0.043</v>
      </c>
      <c r="R574" s="6" t="n">
        <v>0.0427</v>
      </c>
    </row>
    <row r="575">
      <c r="A575" s="4" t="inlineStr">
        <is>
          <t>26-PC-32442</t>
        </is>
      </c>
      <c r="B575" s="4" t="inlineStr">
        <is>
          <t>Sumac Ridge Airport Apron Cultural Resources Assessment</t>
        </is>
      </c>
      <c r="C575" s="4" t="inlineStr">
        <is>
          <t>In Progress</t>
        </is>
      </c>
      <c r="D575" s="4" t="inlineStr">
        <is>
          <t>Fixed fee</t>
        </is>
      </c>
      <c r="E575" s="4" t="inlineStr">
        <is>
          <t>Chesapeake</t>
        </is>
      </c>
      <c r="F575" s="4" t="inlineStr">
        <is>
          <t>Sandy Kerr</t>
        </is>
      </c>
      <c r="G575" s="5" t="n">
        <v>53400</v>
      </c>
      <c r="H575" s="5" t="n">
        <v>17088</v>
      </c>
      <c r="I575" s="5" t="n">
        <v>14860.55</v>
      </c>
      <c r="J575" s="5" t="n">
        <v>33316.26</v>
      </c>
      <c r="K575" s="5" t="n">
        <v>33316.26</v>
      </c>
      <c r="L575" s="5" t="n">
        <v>0</v>
      </c>
      <c r="M575" s="5" t="n">
        <v>10661.31</v>
      </c>
      <c r="N575" s="5" t="n">
        <v>22654.95</v>
      </c>
      <c r="O575" s="5" t="n">
        <v>22654.95</v>
      </c>
      <c r="P575" s="4" t="n"/>
      <c r="Q575" s="6" t="n">
        <v>0.32</v>
      </c>
      <c r="R575" s="6" t="n">
        <v>0.32</v>
      </c>
    </row>
    <row r="576">
      <c r="A576" s="4" t="inlineStr">
        <is>
          <t>26-PC-32453</t>
        </is>
      </c>
      <c r="B576" s="4" t="inlineStr">
        <is>
          <t>Quail Run Housing Development Phase II Testing</t>
        </is>
      </c>
      <c r="C576" s="4" t="inlineStr">
        <is>
          <t>In Progress</t>
        </is>
      </c>
      <c r="D576" s="4" t="inlineStr">
        <is>
          <t>Time and material</t>
        </is>
      </c>
      <c r="E576" s="4" t="inlineStr">
        <is>
          <t>Chesapeake</t>
        </is>
      </c>
      <c r="F576" s="4" t="inlineStr">
        <is>
          <t>Ian Maddox</t>
        </is>
      </c>
      <c r="G576" s="5" t="n">
        <v>103800</v>
      </c>
      <c r="H576" s="5" t="n">
        <v>6785.75</v>
      </c>
      <c r="I576" s="5" t="n">
        <v>1853.51</v>
      </c>
      <c r="J576" s="5" t="n">
        <v>74927.88</v>
      </c>
      <c r="K576" s="5" t="n">
        <v>58312.8</v>
      </c>
      <c r="L576" s="5" t="n">
        <v>16615.08</v>
      </c>
      <c r="M576" s="5" t="n">
        <v>4515.47</v>
      </c>
      <c r="N576" s="5" t="n">
        <v>70412.41</v>
      </c>
      <c r="O576" s="5" t="n">
        <v>53797.33</v>
      </c>
      <c r="P576" s="4" t="n"/>
      <c r="Q576" s="6" t="n">
        <v>0.065</v>
      </c>
      <c r="R576" s="6" t="n">
        <v>0.0603</v>
      </c>
    </row>
    <row r="577">
      <c r="A577" s="4" t="inlineStr">
        <is>
          <t>26-PC-32540</t>
        </is>
      </c>
      <c r="B577" s="4" t="inlineStr">
        <is>
          <t>Task Order 36: Granite Pass Mixed-Use Development Phase II Testing</t>
        </is>
      </c>
      <c r="C577" s="4" t="inlineStr">
        <is>
          <t>Lab/Curation</t>
        </is>
      </c>
      <c r="D577" s="4" t="inlineStr">
        <is>
          <t>Time and material</t>
        </is>
      </c>
      <c r="E577" s="4" t="inlineStr">
        <is>
          <t>Chesapeake</t>
        </is>
      </c>
      <c r="F577" s="4" t="inlineStr">
        <is>
          <t>Bryan Mann</t>
        </is>
      </c>
      <c r="G577" s="5" t="n">
        <v>846100</v>
      </c>
      <c r="H577" s="5" t="n">
        <v>79570</v>
      </c>
      <c r="I577" s="5" t="n">
        <v>49253.92</v>
      </c>
      <c r="J577" s="5" t="n">
        <v>625775.5600000001</v>
      </c>
      <c r="K577" s="5" t="n">
        <v>625775.5600000001</v>
      </c>
      <c r="L577" s="5" t="n">
        <v>0</v>
      </c>
      <c r="M577" s="5" t="n">
        <v>55637.33</v>
      </c>
      <c r="N577" s="5" t="n">
        <v>570138.2300000001</v>
      </c>
      <c r="O577" s="5" t="n">
        <v>570138.2300000001</v>
      </c>
      <c r="P577" s="4" t="n"/>
      <c r="Q577" s="6" t="n">
        <v>0.094</v>
      </c>
      <c r="R577" s="6" t="n">
        <v>0.08890000000000001</v>
      </c>
    </row>
    <row r="578">
      <c r="A578" s="4" t="inlineStr">
        <is>
          <t>26-PC-32556</t>
        </is>
      </c>
      <c r="B578" s="4" t="inlineStr">
        <is>
          <t>Maple Fork Cultural Resources Monitoring</t>
        </is>
      </c>
      <c r="C578" s="4" t="inlineStr">
        <is>
          <t>In Progress</t>
        </is>
      </c>
      <c r="D578" s="4" t="inlineStr">
        <is>
          <t>Fixed fee</t>
        </is>
      </c>
      <c r="E578" s="4" t="inlineStr">
        <is>
          <t>Chesapeake</t>
        </is>
      </c>
      <c r="F578" s="4" t="inlineStr">
        <is>
          <t>Sandy Kerr</t>
        </is>
      </c>
      <c r="G578" s="5" t="n">
        <v>45700</v>
      </c>
      <c r="H578" s="5" t="n">
        <v>15771.07</v>
      </c>
      <c r="I578" s="5" t="n">
        <v>13650.9</v>
      </c>
      <c r="J578" s="5" t="n">
        <v>32259.63</v>
      </c>
      <c r="K578" s="5" t="n">
        <v>32259.63</v>
      </c>
      <c r="L578" s="5" t="n">
        <v>0</v>
      </c>
      <c r="M578" s="5" t="n">
        <v>11132.77</v>
      </c>
      <c r="N578" s="5" t="n">
        <v>21126.86</v>
      </c>
      <c r="O578" s="5" t="n">
        <v>21126.86</v>
      </c>
      <c r="P578" s="4" t="n"/>
      <c r="Q578" s="6" t="n">
        <v>0.345</v>
      </c>
      <c r="R578" s="6" t="n">
        <v>0.3451</v>
      </c>
    </row>
    <row r="579">
      <c r="A579" s="4" t="inlineStr">
        <is>
          <t>26-PC-32563</t>
        </is>
      </c>
      <c r="B579" s="4" t="inlineStr">
        <is>
          <t>On-Call: Creosote Draw Substation Phase I Survey</t>
        </is>
      </c>
      <c r="C579" s="4" t="inlineStr">
        <is>
          <t>Transferred Entity</t>
        </is>
      </c>
      <c r="D579" s="4" t="inlineStr">
        <is>
          <t>Fixed fee</t>
        </is>
      </c>
      <c r="E579" s="4" t="inlineStr">
        <is>
          <t>Chesapeake</t>
        </is>
      </c>
      <c r="F579" s="4" t="inlineStr">
        <is>
          <t>Bryan Mann</t>
        </is>
      </c>
      <c r="G579" s="5" t="n">
        <v>534900</v>
      </c>
      <c r="H579" s="5" t="n">
        <v>133136.61</v>
      </c>
      <c r="I579" s="5" t="n">
        <v>127694.45</v>
      </c>
      <c r="J579" s="5" t="n">
        <v>344315.13</v>
      </c>
      <c r="K579" s="5" t="n">
        <v>344315.13</v>
      </c>
      <c r="L579" s="5" t="n">
        <v>0</v>
      </c>
      <c r="M579" s="5" t="n">
        <v>85685.88</v>
      </c>
      <c r="N579" s="5" t="n">
        <v>258629.25</v>
      </c>
      <c r="O579" s="5" t="n">
        <v>258629.25</v>
      </c>
      <c r="P579" s="4" t="n"/>
      <c r="Q579" s="6" t="n">
        <v>0.249</v>
      </c>
      <c r="R579" s="6" t="n">
        <v>0.2489</v>
      </c>
    </row>
    <row r="580">
      <c r="A580" s="4" t="inlineStr">
        <is>
          <t>26-PC-32594</t>
        </is>
      </c>
      <c r="B580" s="4" t="inlineStr">
        <is>
          <t>On-Call: Tamarack Rail Siding Cultural Resources Monitoring</t>
        </is>
      </c>
      <c r="C580" s="4" t="inlineStr">
        <is>
          <t>In Progress</t>
        </is>
      </c>
      <c r="D580" s="4" t="inlineStr">
        <is>
          <t>Fixed fee</t>
        </is>
      </c>
      <c r="E580" s="4" t="inlineStr">
        <is>
          <t>Chesapeake</t>
        </is>
      </c>
      <c r="F580" s="4" t="inlineStr">
        <is>
          <t>Jason Oconnor</t>
        </is>
      </c>
      <c r="G580" s="5" t="n">
        <v>94400</v>
      </c>
      <c r="H580" s="5" t="n">
        <v>51193.12</v>
      </c>
      <c r="I580" s="5" t="n">
        <v>38376.64</v>
      </c>
      <c r="J580" s="5" t="n">
        <v>71536.32000000001</v>
      </c>
      <c r="K580" s="5" t="n">
        <v>71536.32000000001</v>
      </c>
      <c r="L580" s="5" t="n">
        <v>0</v>
      </c>
      <c r="M580" s="5" t="n">
        <v>38790.59</v>
      </c>
      <c r="N580" s="5" t="n">
        <v>32745.73000000001</v>
      </c>
      <c r="O580" s="5" t="n">
        <v>32745.73000000001</v>
      </c>
      <c r="P580" s="4" t="n"/>
      <c r="Q580" s="6" t="n">
        <v>0.542</v>
      </c>
      <c r="R580" s="6" t="n">
        <v>0.5423</v>
      </c>
    </row>
    <row r="581">
      <c r="A581" s="4" t="inlineStr">
        <is>
          <t>26-PC-32614</t>
        </is>
      </c>
      <c r="B581" s="4" t="inlineStr">
        <is>
          <t>Fern Valley Architectural History Survey</t>
        </is>
      </c>
      <c r="C581" s="4" t="inlineStr">
        <is>
          <t>In Progress</t>
        </is>
      </c>
      <c r="D581" s="4" t="inlineStr">
        <is>
          <t>Time and material</t>
        </is>
      </c>
      <c r="E581" s="4" t="inlineStr">
        <is>
          <t>Chesapeake</t>
        </is>
      </c>
      <c r="F581" s="4" t="inlineStr">
        <is>
          <t>Ian Maddox</t>
        </is>
      </c>
      <c r="G581" s="5" t="n">
        <v>29700</v>
      </c>
      <c r="H581" s="5" t="n">
        <v>0</v>
      </c>
      <c r="I581" s="5" t="n">
        <v>0</v>
      </c>
      <c r="J581" s="5" t="n">
        <v>20748.42</v>
      </c>
      <c r="K581" s="5" t="n">
        <v>20748.42</v>
      </c>
      <c r="L581" s="5" t="n">
        <v>0</v>
      </c>
      <c r="M581" s="5" t="n">
        <v>0</v>
      </c>
      <c r="N581" s="5" t="n">
        <v>20748.42</v>
      </c>
      <c r="O581" s="5" t="n">
        <v>20748.42</v>
      </c>
      <c r="P581" s="4" t="n"/>
      <c r="Q581" s="6" t="n">
        <v>0</v>
      </c>
      <c r="R581" s="6" t="n">
        <v>0</v>
      </c>
    </row>
    <row r="582">
      <c r="A582" s="4" t="inlineStr">
        <is>
          <t>26-PC-32646</t>
        </is>
      </c>
      <c r="B582" s="4" t="inlineStr">
        <is>
          <t>Goldfinch Historic Resources Evaluation</t>
        </is>
      </c>
      <c r="C582" s="4" t="inlineStr">
        <is>
          <t>In Progress</t>
        </is>
      </c>
      <c r="D582" s="4" t="inlineStr">
        <is>
          <t>Time and material</t>
        </is>
      </c>
      <c r="E582" s="4" t="inlineStr">
        <is>
          <t>Chesapeake</t>
        </is>
      </c>
      <c r="F582" s="4" t="inlineStr">
        <is>
          <t>Ian Maddox</t>
        </is>
      </c>
      <c r="G582" s="5" t="n">
        <v>48600</v>
      </c>
      <c r="H582" s="5" t="n">
        <v>24344.25</v>
      </c>
      <c r="I582" s="5" t="n">
        <v>19074.93</v>
      </c>
      <c r="J582" s="5" t="n">
        <v>33922.8</v>
      </c>
      <c r="K582" s="5" t="n">
        <v>33922.8</v>
      </c>
      <c r="L582" s="5" t="n">
        <v>0</v>
      </c>
      <c r="M582" s="5" t="n">
        <v>15954.4</v>
      </c>
      <c r="N582" s="5" t="n">
        <v>17968.4</v>
      </c>
      <c r="O582" s="5" t="n">
        <v>17968.4</v>
      </c>
      <c r="P582" s="4" t="n"/>
      <c r="Q582" s="6" t="n">
        <v>0.501</v>
      </c>
      <c r="R582" s="6" t="n">
        <v>0.4703</v>
      </c>
    </row>
    <row r="583">
      <c r="A583" s="4" t="inlineStr">
        <is>
          <t>26-PC-32707</t>
        </is>
      </c>
      <c r="B583" s="4" t="inlineStr">
        <is>
          <t>On-Call: Creosote Draw Transmission Line Cultural Resources Monitoring</t>
        </is>
      </c>
      <c r="C583" s="4" t="inlineStr">
        <is>
          <t>In Progress</t>
        </is>
      </c>
      <c r="D583" s="4" t="inlineStr">
        <is>
          <t>Fixed fee</t>
        </is>
      </c>
      <c r="E583" s="4" t="inlineStr">
        <is>
          <t>Chesapeake</t>
        </is>
      </c>
      <c r="F583" s="4" t="inlineStr">
        <is>
          <t>Sandy Kerr</t>
        </is>
      </c>
      <c r="G583" s="5" t="n">
        <v>327400</v>
      </c>
      <c r="H583" s="5" t="n">
        <v>152306.48</v>
      </c>
      <c r="I583" s="5" t="n">
        <v>137397.62</v>
      </c>
      <c r="J583" s="5" t="n">
        <v>229376.44</v>
      </c>
      <c r="K583" s="5" t="n">
        <v>229376.44</v>
      </c>
      <c r="L583" s="5" t="n">
        <v>0</v>
      </c>
      <c r="M583" s="5" t="n">
        <v>106701.23</v>
      </c>
      <c r="N583" s="5" t="n">
        <v>122675.21</v>
      </c>
      <c r="O583" s="5" t="n">
        <v>122675.21</v>
      </c>
      <c r="P583" s="4" t="n"/>
      <c r="Q583" s="6" t="n">
        <v>0.465</v>
      </c>
      <c r="R583" s="6" t="n">
        <v>0.4652</v>
      </c>
    </row>
    <row r="584">
      <c r="A584" s="4" t="inlineStr">
        <is>
          <t>26-PC-32711</t>
        </is>
      </c>
      <c r="B584" s="4" t="inlineStr">
        <is>
          <t>Creosote Draw Phase I Survey</t>
        </is>
      </c>
      <c r="C584" s="4" t="inlineStr">
        <is>
          <t>In Progress</t>
        </is>
      </c>
      <c r="D584" s="4" t="inlineStr">
        <is>
          <t>Fixed fee</t>
        </is>
      </c>
      <c r="E584" s="4" t="inlineStr">
        <is>
          <t>Chesapeake</t>
        </is>
      </c>
      <c r="F584" s="4" t="inlineStr">
        <is>
          <t>Jason Oconnor</t>
        </is>
      </c>
      <c r="G584" s="5" t="n">
        <v>62100</v>
      </c>
      <c r="H584" s="5" t="n">
        <v>12997.53</v>
      </c>
      <c r="I584" s="5" t="n">
        <v>10647.65</v>
      </c>
      <c r="J584" s="5" t="n">
        <v>44997.66</v>
      </c>
      <c r="K584" s="5" t="n">
        <v>44997.66</v>
      </c>
      <c r="L584" s="5" t="n">
        <v>0</v>
      </c>
      <c r="M584" s="5" t="n">
        <v>9419.950000000001</v>
      </c>
      <c r="N584" s="5" t="n">
        <v>35577.71000000001</v>
      </c>
      <c r="O584" s="5" t="n">
        <v>35577.71000000001</v>
      </c>
      <c r="P584" s="4" t="n"/>
      <c r="Q584" s="6" t="n">
        <v>0.209</v>
      </c>
      <c r="R584" s="6" t="n">
        <v>0.2093</v>
      </c>
    </row>
    <row r="585">
      <c r="A585" s="4" t="inlineStr">
        <is>
          <t>26-PC-32725</t>
        </is>
      </c>
      <c r="B585" s="4" t="inlineStr">
        <is>
          <t>Willow Springs Wind Farm - GIS Mapping</t>
        </is>
      </c>
      <c r="C585" s="4" t="inlineStr">
        <is>
          <t>Final Reporting/Review</t>
        </is>
      </c>
      <c r="D585" s="4" t="inlineStr">
        <is>
          <t>Fixed fee</t>
        </is>
      </c>
      <c r="E585" s="4" t="inlineStr">
        <is>
          <t>Chesapeake</t>
        </is>
      </c>
      <c r="F585" s="4" t="inlineStr">
        <is>
          <t>Bryan Mann</t>
        </is>
      </c>
      <c r="G585" s="5" t="n">
        <v>26300</v>
      </c>
      <c r="H585" s="5" t="n">
        <v>16079.82</v>
      </c>
      <c r="I585" s="5" t="n">
        <v>12170.12</v>
      </c>
      <c r="J585" s="5" t="n">
        <v>18699.3</v>
      </c>
      <c r="K585" s="5" t="n">
        <v>18699.3</v>
      </c>
      <c r="L585" s="5" t="n">
        <v>0</v>
      </c>
      <c r="M585" s="5" t="n">
        <v>11432.01</v>
      </c>
      <c r="N585" s="5" t="n">
        <v>7267.289999999999</v>
      </c>
      <c r="O585" s="5" t="n">
        <v>7267.289999999999</v>
      </c>
      <c r="P585" s="4" t="n"/>
      <c r="Q585" s="6" t="n">
        <v>0.611</v>
      </c>
      <c r="R585" s="6" t="n">
        <v>0.6114000000000001</v>
      </c>
    </row>
    <row r="586">
      <c r="A586" s="4" t="inlineStr">
        <is>
          <t>26-PC-32727</t>
        </is>
      </c>
      <c r="B586" s="4" t="inlineStr">
        <is>
          <t>North Fork Mine Expansion - Archaeological Testing</t>
        </is>
      </c>
      <c r="C586" s="4" t="inlineStr">
        <is>
          <t>Cost Tracking on Closed Project</t>
        </is>
      </c>
      <c r="D586" s="4" t="inlineStr">
        <is>
          <t>Fixed fee</t>
        </is>
      </c>
      <c r="E586" s="4" t="inlineStr">
        <is>
          <t>Chesapeake</t>
        </is>
      </c>
      <c r="F586" s="4" t="inlineStr">
        <is>
          <t>Alexandria Wilkinson</t>
        </is>
      </c>
      <c r="G586" s="5" t="n">
        <v>70100</v>
      </c>
      <c r="H586" s="5" t="n">
        <v>57594.16</v>
      </c>
      <c r="I586" s="5" t="n">
        <v>57594.16</v>
      </c>
      <c r="J586" s="5" t="n">
        <v>47310.49</v>
      </c>
      <c r="K586" s="5" t="n">
        <v>47310.49</v>
      </c>
      <c r="L586" s="5" t="n">
        <v>0</v>
      </c>
      <c r="M586" s="5" t="n">
        <v>38868.52</v>
      </c>
      <c r="N586" s="5" t="n">
        <v>8441.970000000001</v>
      </c>
      <c r="O586" s="5" t="n">
        <v>8441.970000000001</v>
      </c>
      <c r="P586" s="4" t="n"/>
      <c r="Q586" s="6" t="n">
        <v>0.822</v>
      </c>
      <c r="R586" s="6" t="n">
        <v>0.8216</v>
      </c>
    </row>
    <row r="587">
      <c r="A587" s="4" t="inlineStr">
        <is>
          <t>26-PC-32744</t>
        </is>
      </c>
      <c r="B587" s="4" t="inlineStr">
        <is>
          <t>Sea Oat Airport Apron Phase II Testing</t>
        </is>
      </c>
      <c r="C587" s="4" t="inlineStr">
        <is>
          <t>Cost Tracking on Closed Project</t>
        </is>
      </c>
      <c r="D587" s="4" t="inlineStr">
        <is>
          <t>Time and material</t>
        </is>
      </c>
      <c r="E587" s="4" t="inlineStr">
        <is>
          <t>Chesapeake</t>
        </is>
      </c>
      <c r="F587" s="4" t="inlineStr">
        <is>
          <t>Sandy Kerr</t>
        </is>
      </c>
      <c r="G587" s="5" t="n">
        <v>137100</v>
      </c>
      <c r="H587" s="5" t="n">
        <v>0</v>
      </c>
      <c r="I587" s="5" t="n">
        <v>0</v>
      </c>
      <c r="J587" s="5" t="n">
        <v>100617.66</v>
      </c>
      <c r="K587" s="5" t="n">
        <v>93287.5</v>
      </c>
      <c r="L587" s="5" t="n">
        <v>7330.16</v>
      </c>
      <c r="M587" s="5" t="n">
        <v>122245.29</v>
      </c>
      <c r="N587" s="5" t="n">
        <v>-21627.62999999999</v>
      </c>
      <c r="O587" s="5" t="n">
        <v>-28957.78999999999</v>
      </c>
      <c r="P587" s="4" t="n"/>
      <c r="Q587" s="6" t="n">
        <v>0</v>
      </c>
      <c r="R587" s="6" t="n">
        <v>1.2149</v>
      </c>
    </row>
    <row r="588">
      <c r="A588" s="4" t="inlineStr">
        <is>
          <t>26-PC-32745</t>
        </is>
      </c>
      <c r="B588" s="4" t="inlineStr">
        <is>
          <t>Task Order 37: Hawk Point Park Improvements Phase II Testing</t>
        </is>
      </c>
      <c r="C588" s="4" t="inlineStr">
        <is>
          <t>In Progress</t>
        </is>
      </c>
      <c r="D588" s="4" t="inlineStr">
        <is>
          <t>Fixed fee</t>
        </is>
      </c>
      <c r="E588" s="4" t="inlineStr">
        <is>
          <t>Chesapeake</t>
        </is>
      </c>
      <c r="F588" s="4" t="inlineStr">
        <is>
          <t>Ian Maddox</t>
        </is>
      </c>
      <c r="G588" s="5" t="n">
        <v>135300</v>
      </c>
      <c r="H588" s="5" t="n">
        <v>56149.5</v>
      </c>
      <c r="I588" s="5" t="n">
        <v>34745.99</v>
      </c>
      <c r="J588" s="5" t="n">
        <v>89758.02</v>
      </c>
      <c r="K588" s="5" t="n">
        <v>89758.02</v>
      </c>
      <c r="L588" s="5" t="n">
        <v>0</v>
      </c>
      <c r="M588" s="5" t="n">
        <v>37247.73</v>
      </c>
      <c r="N588" s="5" t="n">
        <v>52510.29</v>
      </c>
      <c r="O588" s="5" t="n">
        <v>52510.29</v>
      </c>
      <c r="P588" s="4" t="n"/>
      <c r="Q588" s="6" t="n">
        <v>0.415</v>
      </c>
      <c r="R588" s="6" t="n">
        <v>0.415</v>
      </c>
    </row>
    <row r="589">
      <c r="A589" s="4" t="inlineStr">
        <is>
          <t>26-PC-32773</t>
        </is>
      </c>
      <c r="B589" s="4" t="inlineStr">
        <is>
          <t>Oak Terrace Paleontological Monitoring</t>
        </is>
      </c>
      <c r="C589" s="4" t="inlineStr">
        <is>
          <t>In Progress</t>
        </is>
      </c>
      <c r="D589" s="4" t="inlineStr">
        <is>
          <t>Fixed fee</t>
        </is>
      </c>
      <c r="E589" s="4" t="inlineStr">
        <is>
          <t>Front Range</t>
        </is>
      </c>
      <c r="F589" s="4" t="inlineStr">
        <is>
          <t>Mindy Galvan</t>
        </is>
      </c>
      <c r="G589" s="5" t="n">
        <v>48100</v>
      </c>
      <c r="H589" s="5" t="n">
        <v>21236.15</v>
      </c>
      <c r="I589" s="5" t="n">
        <v>16486.92</v>
      </c>
      <c r="J589" s="5" t="n">
        <v>32496.36</v>
      </c>
      <c r="K589" s="5" t="n">
        <v>32496.36</v>
      </c>
      <c r="L589" s="5" t="n">
        <v>0</v>
      </c>
      <c r="M589" s="5" t="n">
        <v>14347.77</v>
      </c>
      <c r="N589" s="5" t="n">
        <v>18148.59</v>
      </c>
      <c r="O589" s="5" t="n">
        <v>18148.59</v>
      </c>
      <c r="P589" s="4" t="n"/>
      <c r="Q589" s="6" t="n">
        <v>0.442</v>
      </c>
      <c r="R589" s="6" t="n">
        <v>0.4415</v>
      </c>
    </row>
    <row r="590">
      <c r="A590" s="4" t="inlineStr">
        <is>
          <t>26-PC-32852</t>
        </is>
      </c>
      <c r="B590" s="4" t="inlineStr">
        <is>
          <t>Task Order 39: Foxglove Highway Widening Data Recovery</t>
        </is>
      </c>
      <c r="C590" s="4" t="inlineStr">
        <is>
          <t>In Progress</t>
        </is>
      </c>
      <c r="D590" s="4" t="inlineStr">
        <is>
          <t>Time and material</t>
        </is>
      </c>
      <c r="E590" s="4" t="inlineStr">
        <is>
          <t>Front Range</t>
        </is>
      </c>
      <c r="F590" s="4" t="inlineStr">
        <is>
          <t>Joanna Herrera</t>
        </is>
      </c>
      <c r="G590" s="5" t="n">
        <v>148800</v>
      </c>
      <c r="H590" s="5" t="n">
        <v>31449.25</v>
      </c>
      <c r="I590" s="5" t="n">
        <v>18923.38</v>
      </c>
      <c r="J590" s="5" t="n">
        <v>95395.67999999999</v>
      </c>
      <c r="K590" s="5" t="n">
        <v>95395.67999999999</v>
      </c>
      <c r="L590" s="5" t="n">
        <v>0</v>
      </c>
      <c r="M590" s="5" t="n">
        <v>18228.56</v>
      </c>
      <c r="N590" s="5" t="n">
        <v>77167.12</v>
      </c>
      <c r="O590" s="5" t="n">
        <v>77167.12</v>
      </c>
      <c r="P590" s="4" t="n"/>
      <c r="Q590" s="6" t="n">
        <v>0.211</v>
      </c>
      <c r="R590" s="6" t="n">
        <v>0.1911</v>
      </c>
    </row>
    <row r="591">
      <c r="A591" s="4" t="inlineStr">
        <is>
          <t>26-PC-32985</t>
        </is>
      </c>
      <c r="B591" s="4" t="inlineStr">
        <is>
          <t>Pine Hollow Built Environment Survey</t>
        </is>
      </c>
      <c r="C591" s="4" t="inlineStr">
        <is>
          <t>In Progress</t>
        </is>
      </c>
      <c r="D591" s="4" t="inlineStr">
        <is>
          <t>Fixed fee</t>
        </is>
      </c>
      <c r="E591" s="4" t="inlineStr">
        <is>
          <t>Front Range</t>
        </is>
      </c>
      <c r="F591" s="4" t="inlineStr">
        <is>
          <t>Jeremy Tran</t>
        </is>
      </c>
      <c r="G591" s="5" t="n">
        <v>106500</v>
      </c>
      <c r="H591" s="5" t="n">
        <v>64783.95</v>
      </c>
      <c r="I591" s="5" t="n">
        <v>55174.32</v>
      </c>
      <c r="J591" s="5" t="n">
        <v>89214.38</v>
      </c>
      <c r="K591" s="5" t="n">
        <v>75741.38</v>
      </c>
      <c r="L591" s="5" t="n">
        <v>13473</v>
      </c>
      <c r="M591" s="5" t="n">
        <v>54267.06</v>
      </c>
      <c r="N591" s="5" t="n">
        <v>34947.32000000001</v>
      </c>
      <c r="O591" s="5" t="n">
        <v>21474.32000000001</v>
      </c>
      <c r="P591" s="4" t="n"/>
      <c r="Q591" s="6" t="n">
        <v>0.608</v>
      </c>
      <c r="R591" s="6" t="n">
        <v>0.6083</v>
      </c>
    </row>
    <row r="592">
      <c r="A592" s="4" t="inlineStr">
        <is>
          <t>26-PC-33017</t>
        </is>
      </c>
      <c r="B592" s="4" t="inlineStr">
        <is>
          <t>Redbud Battery Storage - Maritime Remote Sensing Survey</t>
        </is>
      </c>
      <c r="C592" s="4" t="inlineStr">
        <is>
          <t>In Progress</t>
        </is>
      </c>
      <c r="D592" s="4" t="inlineStr">
        <is>
          <t>Fixed fee</t>
        </is>
      </c>
      <c r="E592" s="4" t="inlineStr">
        <is>
          <t>Front Range</t>
        </is>
      </c>
      <c r="F592" s="4" t="inlineStr">
        <is>
          <t>Mindy Galvan</t>
        </is>
      </c>
      <c r="G592" s="5" t="n">
        <v>588600</v>
      </c>
      <c r="H592" s="5" t="n">
        <v>188116.56</v>
      </c>
      <c r="I592" s="5" t="n">
        <v>188116.56</v>
      </c>
      <c r="J592" s="5" t="n">
        <v>441413.1</v>
      </c>
      <c r="K592" s="5" t="n">
        <v>336449.96</v>
      </c>
      <c r="L592" s="5" t="n">
        <v>104963.14</v>
      </c>
      <c r="M592" s="5" t="n">
        <v>141067.52</v>
      </c>
      <c r="N592" s="5" t="n">
        <v>300345.58</v>
      </c>
      <c r="O592" s="5" t="n">
        <v>195382.44</v>
      </c>
      <c r="P592" s="4" t="n"/>
      <c r="Q592" s="6" t="n">
        <v>0.32</v>
      </c>
      <c r="R592" s="6" t="n">
        <v>0.3196</v>
      </c>
    </row>
    <row r="593">
      <c r="A593" s="4" t="inlineStr">
        <is>
          <t>26-PC-33099</t>
        </is>
      </c>
      <c r="B593" s="4" t="inlineStr">
        <is>
          <t>Eagle Bend Maritime Remote Sensing Survey</t>
        </is>
      </c>
      <c r="C593" s="4" t="inlineStr">
        <is>
          <t>In Progress</t>
        </is>
      </c>
      <c r="D593" s="4" t="inlineStr">
        <is>
          <t>Fixed fee</t>
        </is>
      </c>
      <c r="E593" s="4" t="inlineStr">
        <is>
          <t>Front Range</t>
        </is>
      </c>
      <c r="F593" s="4" t="inlineStr">
        <is>
          <t>Joanna Herrera</t>
        </is>
      </c>
      <c r="G593" s="5" t="n">
        <v>164900</v>
      </c>
      <c r="H593" s="5" t="n">
        <v>29055.38</v>
      </c>
      <c r="I593" s="5" t="n">
        <v>16045.73</v>
      </c>
      <c r="J593" s="5" t="n">
        <v>122091.96</v>
      </c>
      <c r="K593" s="5" t="n">
        <v>122091.96</v>
      </c>
      <c r="L593" s="5" t="n">
        <v>0</v>
      </c>
      <c r="M593" s="5" t="n">
        <v>21510.66</v>
      </c>
      <c r="N593" s="5" t="n">
        <v>100581.3</v>
      </c>
      <c r="O593" s="5" t="n">
        <v>100581.3</v>
      </c>
      <c r="P593" s="4" t="n"/>
      <c r="Q593" s="6" t="n">
        <v>0.176</v>
      </c>
      <c r="R593" s="6" t="n">
        <v>0.1762</v>
      </c>
    </row>
    <row r="594">
      <c r="A594" s="4" t="inlineStr">
        <is>
          <t>26-PC-33127</t>
        </is>
      </c>
      <c r="B594" s="4" t="inlineStr">
        <is>
          <t>Fern Valley Phase I Survey</t>
        </is>
      </c>
      <c r="C594" s="4" t="inlineStr">
        <is>
          <t>In Progress</t>
        </is>
      </c>
      <c r="D594" s="4" t="inlineStr">
        <is>
          <t>Time and material</t>
        </is>
      </c>
      <c r="E594" s="4" t="inlineStr">
        <is>
          <t>Front Range</t>
        </is>
      </c>
      <c r="F594" s="4" t="inlineStr">
        <is>
          <t>Kimberly Daugherty</t>
        </is>
      </c>
      <c r="G594" s="5" t="n">
        <v>179500</v>
      </c>
      <c r="H594" s="5" t="n">
        <v>46153.5</v>
      </c>
      <c r="I594" s="5" t="n">
        <v>39555.28</v>
      </c>
      <c r="J594" s="5" t="n">
        <v>119968.02</v>
      </c>
      <c r="K594" s="5" t="n">
        <v>92441.25</v>
      </c>
      <c r="L594" s="5" t="n">
        <v>27526.77</v>
      </c>
      <c r="M594" s="5" t="n">
        <v>30425.42</v>
      </c>
      <c r="N594" s="5" t="n">
        <v>89542.60000000001</v>
      </c>
      <c r="O594" s="5" t="n">
        <v>62015.83</v>
      </c>
      <c r="P594" s="4" t="n"/>
      <c r="Q594" s="6" t="n">
        <v>0.257</v>
      </c>
      <c r="R594" s="6" t="n">
        <v>0.2536</v>
      </c>
    </row>
    <row r="595">
      <c r="A595" s="4" t="inlineStr">
        <is>
          <t>26-PC-33162</t>
        </is>
      </c>
      <c r="B595" s="4" t="inlineStr">
        <is>
          <t>Phase III: Yarrow Point Airport Apron GIS Mapping</t>
        </is>
      </c>
      <c r="C595" s="4" t="inlineStr">
        <is>
          <t>In Progress</t>
        </is>
      </c>
      <c r="D595" s="4" t="inlineStr">
        <is>
          <t>Time and material</t>
        </is>
      </c>
      <c r="E595" s="4" t="inlineStr">
        <is>
          <t>Front Range</t>
        </is>
      </c>
      <c r="F595" s="4" t="inlineStr">
        <is>
          <t>Dean Velazquez</t>
        </is>
      </c>
      <c r="G595" s="5" t="n">
        <v>81900</v>
      </c>
      <c r="H595" s="5" t="n">
        <v>9863.25</v>
      </c>
      <c r="I595" s="5" t="n">
        <v>8708.139999999999</v>
      </c>
      <c r="J595" s="5" t="n">
        <v>55036.8</v>
      </c>
      <c r="K595" s="5" t="n">
        <v>55036.8</v>
      </c>
      <c r="L595" s="5" t="n">
        <v>0</v>
      </c>
      <c r="M595" s="5" t="n">
        <v>6614.56</v>
      </c>
      <c r="N595" s="5" t="n">
        <v>48422.24000000001</v>
      </c>
      <c r="O595" s="5" t="n">
        <v>48422.24000000001</v>
      </c>
      <c r="P595" s="4" t="n"/>
      <c r="Q595" s="6" t="n">
        <v>0.12</v>
      </c>
      <c r="R595" s="6" t="n">
        <v>0.1202</v>
      </c>
    </row>
    <row r="596">
      <c r="A596" s="4" t="inlineStr">
        <is>
          <t>26-PC-33276</t>
        </is>
      </c>
      <c r="B596" s="4" t="inlineStr">
        <is>
          <t>Quail Run Housing Development Archaeological Testing</t>
        </is>
      </c>
      <c r="C596" s="4" t="inlineStr">
        <is>
          <t>In Progress</t>
        </is>
      </c>
      <c r="D596" s="4" t="inlineStr">
        <is>
          <t>Time and material</t>
        </is>
      </c>
      <c r="E596" s="4" t="inlineStr">
        <is>
          <t>Front Range</t>
        </is>
      </c>
      <c r="F596" s="4" t="inlineStr">
        <is>
          <t>Jeremy Tran</t>
        </is>
      </c>
      <c r="G596" s="5" t="n">
        <v>64200</v>
      </c>
      <c r="H596" s="5" t="n">
        <v>15702.5</v>
      </c>
      <c r="I596" s="5" t="n">
        <v>15096.5</v>
      </c>
      <c r="J596" s="5" t="n">
        <v>42609.54</v>
      </c>
      <c r="K596" s="5" t="n">
        <v>42609.54</v>
      </c>
      <c r="L596" s="5" t="n">
        <v>0</v>
      </c>
      <c r="M596" s="5" t="n">
        <v>10124.5</v>
      </c>
      <c r="N596" s="5" t="n">
        <v>32485.04</v>
      </c>
      <c r="O596" s="5" t="n">
        <v>32485.04</v>
      </c>
      <c r="P596" s="4" t="n"/>
      <c r="Q596" s="6" t="n">
        <v>0.245</v>
      </c>
      <c r="R596" s="6" t="n">
        <v>0.2376</v>
      </c>
    </row>
    <row r="597">
      <c r="A597" s="4" t="inlineStr">
        <is>
          <t>26-PC-33485</t>
        </is>
      </c>
      <c r="B597" s="4" t="inlineStr">
        <is>
          <t>Sea Oat Harbor Dredging GIS Mapping</t>
        </is>
      </c>
      <c r="C597" s="4" t="inlineStr">
        <is>
          <t>In Progress</t>
        </is>
      </c>
      <c r="D597" s="4" t="inlineStr">
        <is>
          <t>Time and material</t>
        </is>
      </c>
      <c r="E597" s="4" t="inlineStr">
        <is>
          <t>Front Range</t>
        </is>
      </c>
      <c r="F597" s="4" t="inlineStr">
        <is>
          <t>Dean Velazquez</t>
        </is>
      </c>
      <c r="G597" s="5" t="n">
        <v>563800</v>
      </c>
      <c r="H597" s="5" t="n">
        <v>45105.5</v>
      </c>
      <c r="I597" s="5" t="n">
        <v>22501.56</v>
      </c>
      <c r="J597" s="5" t="n">
        <v>406950.84</v>
      </c>
      <c r="K597" s="5" t="n">
        <v>406950.84</v>
      </c>
      <c r="L597" s="5" t="n">
        <v>0</v>
      </c>
      <c r="M597" s="5" t="n">
        <v>29789.86</v>
      </c>
      <c r="N597" s="5" t="n">
        <v>377160.98</v>
      </c>
      <c r="O597" s="5" t="n">
        <v>377160.98</v>
      </c>
      <c r="P597" s="4" t="n"/>
      <c r="Q597" s="6" t="n">
        <v>0.08</v>
      </c>
      <c r="R597" s="6" t="n">
        <v>0.0732</v>
      </c>
    </row>
    <row r="598">
      <c r="A598" s="4" t="inlineStr">
        <is>
          <t>26-PC-33505</t>
        </is>
      </c>
      <c r="B598" s="4" t="inlineStr">
        <is>
          <t>Stone Mill Park Improvements - Maritime Remote Sensing Survey</t>
        </is>
      </c>
      <c r="C598" s="4" t="inlineStr">
        <is>
          <t>In Progress</t>
        </is>
      </c>
      <c r="D598" s="4" t="inlineStr">
        <is>
          <t>Fixed fee</t>
        </is>
      </c>
      <c r="E598" s="4" t="inlineStr">
        <is>
          <t>Front Range</t>
        </is>
      </c>
      <c r="F598" s="4" t="inlineStr">
        <is>
          <t>Mindy Galvan</t>
        </is>
      </c>
      <c r="G598" s="5" t="n">
        <v>105100</v>
      </c>
      <c r="H598" s="5" t="n">
        <v>1492.42</v>
      </c>
      <c r="I598" s="5" t="n">
        <v>398.58</v>
      </c>
      <c r="J598" s="5" t="n">
        <v>81200.25999999999</v>
      </c>
      <c r="K598" s="5" t="n">
        <v>81200.25999999999</v>
      </c>
      <c r="L598" s="5" t="n">
        <v>0</v>
      </c>
      <c r="M598" s="5" t="n">
        <v>1152.87</v>
      </c>
      <c r="N598" s="5" t="n">
        <v>80047.39</v>
      </c>
      <c r="O598" s="5" t="n">
        <v>80047.39</v>
      </c>
      <c r="P598" s="4" t="n"/>
      <c r="Q598" s="6" t="n">
        <v>0.014</v>
      </c>
      <c r="R598" s="6" t="n">
        <v>0.0142</v>
      </c>
    </row>
    <row r="599">
      <c r="A599" s="4" t="inlineStr">
        <is>
          <t>26-PC-33563</t>
        </is>
      </c>
      <c r="B599" s="4" t="inlineStr">
        <is>
          <t>Foxglove Phase I Survey</t>
        </is>
      </c>
      <c r="C599" s="4" t="inlineStr">
        <is>
          <t>In Progress</t>
        </is>
      </c>
      <c r="D599" s="4" t="inlineStr">
        <is>
          <t>Fixed fee</t>
        </is>
      </c>
      <c r="E599" s="4" t="inlineStr">
        <is>
          <t>Front Range</t>
        </is>
      </c>
      <c r="F599" s="4" t="inlineStr">
        <is>
          <t>Devon Pitts</t>
        </is>
      </c>
      <c r="G599" s="5" t="n">
        <v>61100</v>
      </c>
      <c r="H599" s="5" t="n">
        <v>0</v>
      </c>
      <c r="I599" s="5" t="n">
        <v>0</v>
      </c>
      <c r="J599" s="5" t="n">
        <v>42098.14</v>
      </c>
      <c r="K599" s="5" t="n">
        <v>35698.3</v>
      </c>
      <c r="L599" s="5" t="n">
        <v>6399.84</v>
      </c>
      <c r="M599" s="5" t="n">
        <v>0</v>
      </c>
      <c r="N599" s="5" t="n">
        <v>42098.14</v>
      </c>
      <c r="O599" s="5" t="n">
        <v>35698.3</v>
      </c>
      <c r="P599" s="4" t="n"/>
      <c r="Q599" s="6" t="n">
        <v>0</v>
      </c>
      <c r="R599" s="6" t="n">
        <v>0</v>
      </c>
    </row>
    <row r="600">
      <c r="A600" s="4" t="inlineStr">
        <is>
          <t>26-PC-33588</t>
        </is>
      </c>
      <c r="B600" s="4" t="inlineStr">
        <is>
          <t>Fern Valley Trail - Cultural Resources Assessment</t>
        </is>
      </c>
      <c r="C600" s="4" t="inlineStr">
        <is>
          <t>Lab/Curation</t>
        </is>
      </c>
      <c r="D600" s="4" t="inlineStr">
        <is>
          <t>Time and material</t>
        </is>
      </c>
      <c r="E600" s="4" t="inlineStr">
        <is>
          <t>Front Range</t>
        </is>
      </c>
      <c r="F600" s="4" t="inlineStr">
        <is>
          <t>Joanna Herrera</t>
        </is>
      </c>
      <c r="G600" s="5" t="n">
        <v>207400</v>
      </c>
      <c r="H600" s="5" t="n">
        <v>38333.25</v>
      </c>
      <c r="I600" s="5" t="n">
        <v>35440.47</v>
      </c>
      <c r="J600" s="5" t="n">
        <v>141868.32</v>
      </c>
      <c r="K600" s="5" t="n">
        <v>122263.6</v>
      </c>
      <c r="L600" s="5" t="n">
        <v>19604.72</v>
      </c>
      <c r="M600" s="5" t="n">
        <v>25436.79</v>
      </c>
      <c r="N600" s="5" t="n">
        <v>116431.53</v>
      </c>
      <c r="O600" s="5" t="n">
        <v>96826.81</v>
      </c>
      <c r="P600" s="4" t="n"/>
      <c r="Q600" s="6" t="n">
        <v>0.185</v>
      </c>
      <c r="R600" s="6" t="n">
        <v>0.1793</v>
      </c>
    </row>
    <row r="601">
      <c r="A601" s="4" t="inlineStr">
        <is>
          <t>26-PC-33660</t>
        </is>
      </c>
      <c r="B601" s="4" t="inlineStr">
        <is>
          <t>Task Order 33: Fern Valley Water Main Section 106 Consultation</t>
        </is>
      </c>
      <c r="C601" s="4" t="inlineStr">
        <is>
          <t>In Progress</t>
        </is>
      </c>
      <c r="D601" s="4" t="inlineStr">
        <is>
          <t>Fixed fee</t>
        </is>
      </c>
      <c r="E601" s="4" t="inlineStr">
        <is>
          <t>Front Range</t>
        </is>
      </c>
      <c r="F601" s="4" t="inlineStr">
        <is>
          <t>Dean Velazquez</t>
        </is>
      </c>
      <c r="G601" s="5" t="n">
        <v>108400</v>
      </c>
      <c r="H601" s="5" t="n">
        <v>24216.56</v>
      </c>
      <c r="I601" s="5" t="n">
        <v>7479.68</v>
      </c>
      <c r="J601" s="5" t="n">
        <v>94229.41</v>
      </c>
      <c r="K601" s="5" t="n">
        <v>77792</v>
      </c>
      <c r="L601" s="5" t="n">
        <v>16437.41</v>
      </c>
      <c r="M601" s="5" t="n">
        <v>21052.74</v>
      </c>
      <c r="N601" s="5" t="n">
        <v>73176.67</v>
      </c>
      <c r="O601" s="5" t="n">
        <v>56739.25999999999</v>
      </c>
      <c r="P601" s="4" t="n"/>
      <c r="Q601" s="6" t="n">
        <v>0.223</v>
      </c>
      <c r="R601" s="6" t="n">
        <v>0.2234</v>
      </c>
    </row>
    <row r="602">
      <c r="A602" s="4" t="inlineStr">
        <is>
          <t>26-PC-33684</t>
        </is>
      </c>
      <c r="B602" s="4" t="inlineStr">
        <is>
          <t>On-Call: Juniper Wash Airport Apron Paleontological Monitoring</t>
        </is>
      </c>
      <c r="C602" s="4" t="inlineStr">
        <is>
          <t>Final Reporting/Review</t>
        </is>
      </c>
      <c r="D602" s="4" t="inlineStr">
        <is>
          <t>Time and material</t>
        </is>
      </c>
      <c r="E602" s="4" t="inlineStr">
        <is>
          <t>Front Range</t>
        </is>
      </c>
      <c r="F602" s="4" t="inlineStr">
        <is>
          <t>Kimberly Daugherty</t>
        </is>
      </c>
      <c r="G602" s="5" t="n">
        <v>24000</v>
      </c>
      <c r="H602" s="5" t="n">
        <v>4253.75</v>
      </c>
      <c r="I602" s="5" t="n">
        <v>1910.97</v>
      </c>
      <c r="J602" s="5" t="n">
        <v>17450.4</v>
      </c>
      <c r="K602" s="5" t="n">
        <v>17450.4</v>
      </c>
      <c r="L602" s="5" t="n">
        <v>0</v>
      </c>
      <c r="M602" s="5" t="n">
        <v>2500.59</v>
      </c>
      <c r="N602" s="5" t="n">
        <v>14949.81</v>
      </c>
      <c r="O602" s="5" t="n">
        <v>14949.81</v>
      </c>
      <c r="P602" s="4" t="n"/>
      <c r="Q602" s="6" t="n">
        <v>0.177</v>
      </c>
      <c r="R602" s="6" t="n">
        <v>0.1433</v>
      </c>
    </row>
    <row r="603">
      <c r="A603" s="4" t="inlineStr">
        <is>
          <t>26-PC-33703</t>
        </is>
      </c>
      <c r="B603" s="4" t="inlineStr">
        <is>
          <t>Plover Cove Mixed-Use Development - GIS Mapping</t>
        </is>
      </c>
      <c r="C603" s="4" t="inlineStr">
        <is>
          <t>Final Reporting/Review</t>
        </is>
      </c>
      <c r="D603" s="4" t="inlineStr">
        <is>
          <t>Fixed fee</t>
        </is>
      </c>
      <c r="E603" s="4" t="inlineStr">
        <is>
          <t>Great Lakes</t>
        </is>
      </c>
      <c r="F603" s="4" t="inlineStr">
        <is>
          <t>Karl Valenzuela</t>
        </is>
      </c>
      <c r="G603" s="5" t="n">
        <v>21700</v>
      </c>
      <c r="H603" s="5" t="n">
        <v>21700</v>
      </c>
      <c r="I603" s="5" t="n">
        <v>11375.68</v>
      </c>
      <c r="J603" s="5" t="n">
        <v>18501.42</v>
      </c>
      <c r="K603" s="5" t="n">
        <v>18501.42</v>
      </c>
      <c r="L603" s="5" t="n">
        <v>0</v>
      </c>
      <c r="M603" s="5" t="n">
        <v>21928.62</v>
      </c>
      <c r="N603" s="5" t="n">
        <v>-3427.200000000001</v>
      </c>
      <c r="O603" s="5" t="n">
        <v>-3427.200000000001</v>
      </c>
      <c r="P603" s="4" t="n"/>
      <c r="Q603" s="6" t="n">
        <v>1</v>
      </c>
      <c r="R603" s="6" t="n">
        <v>1.1852</v>
      </c>
    </row>
    <row r="604">
      <c r="A604" s="4" t="inlineStr">
        <is>
          <t>26-PC-33705</t>
        </is>
      </c>
      <c r="B604" s="4" t="inlineStr">
        <is>
          <t>Twin Buttes Phase I Survey</t>
        </is>
      </c>
      <c r="C604" s="4" t="inlineStr">
        <is>
          <t>In Progress</t>
        </is>
      </c>
      <c r="D604" s="4" t="inlineStr">
        <is>
          <t>Fixed fee</t>
        </is>
      </c>
      <c r="E604" s="4" t="inlineStr">
        <is>
          <t>Great Lakes</t>
        </is>
      </c>
      <c r="F604" s="4" t="inlineStr">
        <is>
          <t>Karl Valenzuela</t>
        </is>
      </c>
      <c r="G604" s="5" t="n">
        <v>211200</v>
      </c>
      <c r="H604" s="5" t="n">
        <v>101629.44</v>
      </c>
      <c r="I604" s="5" t="n">
        <v>84698.25</v>
      </c>
      <c r="J604" s="5" t="n">
        <v>166784.64</v>
      </c>
      <c r="K604" s="5" t="n">
        <v>166784.64</v>
      </c>
      <c r="L604" s="5" t="n">
        <v>0</v>
      </c>
      <c r="M604" s="5" t="n">
        <v>80257.44</v>
      </c>
      <c r="N604" s="5" t="n">
        <v>86527.20000000001</v>
      </c>
      <c r="O604" s="5" t="n">
        <v>86527.20000000001</v>
      </c>
      <c r="P604" s="4" t="n"/>
      <c r="Q604" s="6" t="n">
        <v>0.481</v>
      </c>
      <c r="R604" s="6" t="n">
        <v>0.4812</v>
      </c>
    </row>
    <row r="605">
      <c r="A605" s="4" t="inlineStr">
        <is>
          <t>26-PC-33719</t>
        </is>
      </c>
      <c r="B605" s="4" t="inlineStr">
        <is>
          <t>Saltgrass GIS Mapping</t>
        </is>
      </c>
      <c r="C605" s="4" t="inlineStr">
        <is>
          <t>In Progress</t>
        </is>
      </c>
      <c r="D605" s="4" t="inlineStr">
        <is>
          <t>Fixed fee</t>
        </is>
      </c>
      <c r="E605" s="4" t="inlineStr">
        <is>
          <t>Great Lakes</t>
        </is>
      </c>
      <c r="F605" s="4" t="inlineStr">
        <is>
          <t>Gina Beltran</t>
        </is>
      </c>
      <c r="G605" s="5" t="n">
        <v>394200</v>
      </c>
      <c r="H605" s="5" t="n">
        <v>11274.12</v>
      </c>
      <c r="I605" s="5" t="n">
        <v>4081.27</v>
      </c>
      <c r="J605" s="5" t="n">
        <v>310235.4</v>
      </c>
      <c r="K605" s="5" t="n">
        <v>310235.4</v>
      </c>
      <c r="L605" s="5" t="n">
        <v>0</v>
      </c>
      <c r="M605" s="5" t="n">
        <v>8878.32</v>
      </c>
      <c r="N605" s="5" t="n">
        <v>301357.08</v>
      </c>
      <c r="O605" s="5" t="n">
        <v>301357.08</v>
      </c>
      <c r="P605" s="4" t="n"/>
      <c r="Q605" s="6" t="n">
        <v>0.029</v>
      </c>
      <c r="R605" s="6" t="n">
        <v>0.0286</v>
      </c>
    </row>
    <row r="606">
      <c r="A606" s="4" t="inlineStr">
        <is>
          <t>26-PC-33743</t>
        </is>
      </c>
      <c r="B606" s="4" t="inlineStr">
        <is>
          <t>Raven Rock Canal Lining Architectural History Survey</t>
        </is>
      </c>
      <c r="C606" s="4" t="inlineStr">
        <is>
          <t>In Progress</t>
        </is>
      </c>
      <c r="D606" s="4" t="inlineStr">
        <is>
          <t>Fixed fee</t>
        </is>
      </c>
      <c r="E606" s="4" t="inlineStr">
        <is>
          <t>Great Lakes</t>
        </is>
      </c>
      <c r="F606" s="4" t="inlineStr">
        <is>
          <t>Brendan Padilla</t>
        </is>
      </c>
      <c r="G606" s="5" t="n">
        <v>111800</v>
      </c>
      <c r="H606" s="5" t="n">
        <v>61277.58</v>
      </c>
      <c r="I606" s="5" t="n">
        <v>58305.85</v>
      </c>
      <c r="J606" s="5" t="n">
        <v>75766.86</v>
      </c>
      <c r="K606" s="5" t="n">
        <v>75766.86</v>
      </c>
      <c r="L606" s="5" t="n">
        <v>0</v>
      </c>
      <c r="M606" s="5" t="n">
        <v>41526.74</v>
      </c>
      <c r="N606" s="5" t="n">
        <v>34240.12</v>
      </c>
      <c r="O606" s="5" t="n">
        <v>34240.12</v>
      </c>
      <c r="P606" s="4" t="n"/>
      <c r="Q606" s="6" t="n">
        <v>0.548</v>
      </c>
      <c r="R606" s="6" t="n">
        <v>0.5481</v>
      </c>
    </row>
    <row r="607">
      <c r="A607" s="4" t="inlineStr">
        <is>
          <t>26-PC-33834</t>
        </is>
      </c>
      <c r="B607" s="4" t="inlineStr">
        <is>
          <t>On-Call: Silver Lake Canal Lining Curation</t>
        </is>
      </c>
      <c r="C607" s="4" t="inlineStr">
        <is>
          <t>In Progress</t>
        </is>
      </c>
      <c r="D607" s="4" t="inlineStr">
        <is>
          <t>Fixed fee</t>
        </is>
      </c>
      <c r="E607" s="4" t="inlineStr">
        <is>
          <t>Great Lakes</t>
        </is>
      </c>
      <c r="F607" s="4" t="inlineStr">
        <is>
          <t>Leonard Mejia</t>
        </is>
      </c>
      <c r="G607" s="5" t="n">
        <v>204800</v>
      </c>
      <c r="H607" s="5" t="n">
        <v>48885.76</v>
      </c>
      <c r="I607" s="5" t="n">
        <v>40950.62</v>
      </c>
      <c r="J607" s="5" t="n">
        <v>158052.15</v>
      </c>
      <c r="K607" s="5" t="n">
        <v>136321.79</v>
      </c>
      <c r="L607" s="5" t="n">
        <v>21730.36</v>
      </c>
      <c r="M607" s="5" t="n">
        <v>37725.67</v>
      </c>
      <c r="N607" s="5" t="n">
        <v>120326.48</v>
      </c>
      <c r="O607" s="5" t="n">
        <v>98596.12000000001</v>
      </c>
      <c r="P607" s="4" t="n"/>
      <c r="Q607" s="6" t="n">
        <v>0.239</v>
      </c>
      <c r="R607" s="6" t="n">
        <v>0.2387</v>
      </c>
    </row>
    <row r="608">
      <c r="A608" s="4" t="inlineStr">
        <is>
          <t>26-PC-33896</t>
        </is>
      </c>
      <c r="B608" s="4" t="inlineStr">
        <is>
          <t>Maple Fork Trail Curation</t>
        </is>
      </c>
      <c r="C608" s="4" t="inlineStr">
        <is>
          <t>In Progress</t>
        </is>
      </c>
      <c r="D608" s="4" t="inlineStr">
        <is>
          <t>Fixed fee</t>
        </is>
      </c>
      <c r="E608" s="4" t="inlineStr">
        <is>
          <t>Great Lakes</t>
        </is>
      </c>
      <c r="F608" s="4" t="inlineStr">
        <is>
          <t>Nathan Lambert</t>
        </is>
      </c>
      <c r="G608" s="5" t="n">
        <v>69800</v>
      </c>
      <c r="H608" s="5" t="n">
        <v>21798.54</v>
      </c>
      <c r="I608" s="5" t="n">
        <v>14218.1</v>
      </c>
      <c r="J608" s="5" t="n">
        <v>48734.36</v>
      </c>
      <c r="K608" s="5" t="n">
        <v>48734.36</v>
      </c>
      <c r="L608" s="5" t="n">
        <v>0</v>
      </c>
      <c r="M608" s="5" t="n">
        <v>15222.15</v>
      </c>
      <c r="N608" s="5" t="n">
        <v>33512.21</v>
      </c>
      <c r="O608" s="5" t="n">
        <v>33512.21</v>
      </c>
      <c r="P608" s="4" t="n"/>
      <c r="Q608" s="6" t="n">
        <v>0.312</v>
      </c>
      <c r="R608" s="6" t="n">
        <v>0.3123</v>
      </c>
    </row>
    <row r="609">
      <c r="A609" s="4" t="inlineStr">
        <is>
          <t>26-PC-33913</t>
        </is>
      </c>
      <c r="B609" s="4" t="inlineStr">
        <is>
          <t>Windmill Flat Section 106 Consultation</t>
        </is>
      </c>
      <c r="C609" s="4" t="inlineStr">
        <is>
          <t>Final Reporting/Review</t>
        </is>
      </c>
      <c r="D609" s="4" t="inlineStr">
        <is>
          <t>Time and material</t>
        </is>
      </c>
      <c r="E609" s="4" t="inlineStr">
        <is>
          <t>Great Lakes</t>
        </is>
      </c>
      <c r="F609" s="4" t="inlineStr">
        <is>
          <t>Angelica Cervantes</t>
        </is>
      </c>
      <c r="G609" s="5" t="n">
        <v>31100</v>
      </c>
      <c r="H609" s="5" t="n">
        <v>1702.75</v>
      </c>
      <c r="I609" s="5" t="n">
        <v>828.0599999999999</v>
      </c>
      <c r="J609" s="5" t="n">
        <v>20015.96</v>
      </c>
      <c r="K609" s="5" t="n">
        <v>20015.96</v>
      </c>
      <c r="L609" s="5" t="n">
        <v>0</v>
      </c>
      <c r="M609" s="5" t="n">
        <v>1134.5</v>
      </c>
      <c r="N609" s="5" t="n">
        <v>18881.46</v>
      </c>
      <c r="O609" s="5" t="n">
        <v>18881.46</v>
      </c>
      <c r="P609" s="4" t="n"/>
      <c r="Q609" s="6" t="n">
        <v>0.055</v>
      </c>
      <c r="R609" s="6" t="n">
        <v>0.0567</v>
      </c>
    </row>
    <row r="610">
      <c r="A610" s="4" t="inlineStr">
        <is>
          <t>26-PC-34101</t>
        </is>
      </c>
      <c r="B610" s="4" t="inlineStr">
        <is>
          <t>North Fork Rail Siding Paleontological Monitoring</t>
        </is>
      </c>
      <c r="C610" s="4" t="inlineStr">
        <is>
          <t>In Progress</t>
        </is>
      </c>
      <c r="D610" s="4" t="inlineStr">
        <is>
          <t>Fixed fee</t>
        </is>
      </c>
      <c r="E610" s="4" t="inlineStr">
        <is>
          <t>Great Lakes</t>
        </is>
      </c>
      <c r="F610" s="4" t="inlineStr">
        <is>
          <t>Nathan Lambert</t>
        </is>
      </c>
      <c r="G610" s="5" t="n">
        <v>76400</v>
      </c>
      <c r="H610" s="5" t="n">
        <v>76400</v>
      </c>
      <c r="I610" s="5" t="n">
        <v>70250.02</v>
      </c>
      <c r="J610" s="5" t="n">
        <v>53087.85</v>
      </c>
      <c r="K610" s="5" t="n">
        <v>46646.64</v>
      </c>
      <c r="L610" s="5" t="n">
        <v>6441.21</v>
      </c>
      <c r="M610" s="5" t="n">
        <v>80951.17999999999</v>
      </c>
      <c r="N610" s="5" t="n">
        <v>-27863.32999999999</v>
      </c>
      <c r="O610" s="5" t="n">
        <v>-34304.53999999999</v>
      </c>
      <c r="P610" s="4" t="n"/>
      <c r="Q610" s="6" t="n">
        <v>1</v>
      </c>
      <c r="R610" s="6" t="n">
        <v>1.5249</v>
      </c>
    </row>
    <row r="611">
      <c r="A611" s="4" t="inlineStr">
        <is>
          <t>26-PC-34114</t>
        </is>
      </c>
      <c r="B611" s="4" t="inlineStr">
        <is>
          <t>Granite Pass Canal Lining - Section 106 Consultation</t>
        </is>
      </c>
      <c r="C611" s="4" t="inlineStr">
        <is>
          <t>In Progress</t>
        </is>
      </c>
      <c r="D611" s="4" t="inlineStr">
        <is>
          <t>Time and material</t>
        </is>
      </c>
      <c r="E611" s="4" t="inlineStr">
        <is>
          <t>Great Lakes</t>
        </is>
      </c>
      <c r="F611" s="4" t="inlineStr">
        <is>
          <t>Brendan Padilla</t>
        </is>
      </c>
      <c r="G611" s="5" t="n">
        <v>216500</v>
      </c>
      <c r="H611" s="5" t="n">
        <v>17201</v>
      </c>
      <c r="I611" s="5" t="n">
        <v>12093.51</v>
      </c>
      <c r="J611" s="5" t="n">
        <v>145812.75</v>
      </c>
      <c r="K611" s="5" t="n">
        <v>145812.75</v>
      </c>
      <c r="L611" s="5" t="n">
        <v>0</v>
      </c>
      <c r="M611" s="5" t="n">
        <v>9715.07</v>
      </c>
      <c r="N611" s="5" t="n">
        <v>136097.68</v>
      </c>
      <c r="O611" s="5" t="n">
        <v>136097.68</v>
      </c>
      <c r="P611" s="4" t="n"/>
      <c r="Q611" s="6" t="n">
        <v>0.079</v>
      </c>
      <c r="R611" s="6" t="n">
        <v>0.06660000000000001</v>
      </c>
    </row>
    <row r="612">
      <c r="A612" s="4" t="inlineStr">
        <is>
          <t>26-PC-34198</t>
        </is>
      </c>
      <c r="B612" s="4" t="inlineStr">
        <is>
          <t>Tansy Flat Pipeline - Historic Resources Evaluation</t>
        </is>
      </c>
      <c r="C612" s="4" t="inlineStr">
        <is>
          <t>In Progress</t>
        </is>
      </c>
      <c r="D612" s="4" t="inlineStr">
        <is>
          <t>Time and material</t>
        </is>
      </c>
      <c r="E612" s="4" t="inlineStr">
        <is>
          <t>Great Lakes</t>
        </is>
      </c>
      <c r="F612" s="4" t="inlineStr">
        <is>
          <t>Brendan Padilla</t>
        </is>
      </c>
      <c r="G612" s="5" t="n">
        <v>65600</v>
      </c>
      <c r="H612" s="5" t="n">
        <v>16223.25</v>
      </c>
      <c r="I612" s="5" t="n">
        <v>16223.25</v>
      </c>
      <c r="J612" s="5" t="n">
        <v>47297.6</v>
      </c>
      <c r="K612" s="5" t="n">
        <v>47297.6</v>
      </c>
      <c r="L612" s="5" t="n">
        <v>0</v>
      </c>
      <c r="M612" s="5" t="n">
        <v>9004.51</v>
      </c>
      <c r="N612" s="5" t="n">
        <v>38293.09</v>
      </c>
      <c r="O612" s="5" t="n">
        <v>38293.09</v>
      </c>
      <c r="P612" s="4" t="n"/>
      <c r="Q612" s="6" t="n">
        <v>0.247</v>
      </c>
      <c r="R612" s="6" t="n">
        <v>0.1904</v>
      </c>
    </row>
    <row r="613">
      <c r="A613" s="4" t="inlineStr">
        <is>
          <t>26-PC-34297</t>
        </is>
      </c>
      <c r="B613" s="4" t="inlineStr">
        <is>
          <t>Badger Hollow Historic Resources Evaluation</t>
        </is>
      </c>
      <c r="C613" s="4" t="inlineStr">
        <is>
          <t>In Progress</t>
        </is>
      </c>
      <c r="D613" s="4" t="inlineStr">
        <is>
          <t>Fixed fee</t>
        </is>
      </c>
      <c r="E613" s="4" t="inlineStr">
        <is>
          <t>Great Lakes</t>
        </is>
      </c>
      <c r="F613" s="4" t="inlineStr">
        <is>
          <t>Reginald Koch</t>
        </is>
      </c>
      <c r="G613" s="5" t="n">
        <v>41700</v>
      </c>
      <c r="H613" s="5" t="n">
        <v>3494.46</v>
      </c>
      <c r="I613" s="5" t="n">
        <v>3494.46</v>
      </c>
      <c r="J613" s="5" t="n">
        <v>29306.76</v>
      </c>
      <c r="K613" s="5" t="n">
        <v>29306.76</v>
      </c>
      <c r="L613" s="5" t="n">
        <v>0</v>
      </c>
      <c r="M613" s="5" t="n">
        <v>2455.17</v>
      </c>
      <c r="N613" s="5" t="n">
        <v>26851.59</v>
      </c>
      <c r="O613" s="5" t="n">
        <v>26851.59</v>
      </c>
      <c r="P613" s="4" t="n"/>
      <c r="Q613" s="6" t="n">
        <v>0.08400000000000001</v>
      </c>
      <c r="R613" s="6" t="n">
        <v>0.0838</v>
      </c>
    </row>
    <row r="614">
      <c r="A614" s="4" t="inlineStr">
        <is>
          <t>26-PC-34336</t>
        </is>
      </c>
      <c r="B614" s="4" t="inlineStr">
        <is>
          <t>Pine Hollow Solar Architectural History Survey</t>
        </is>
      </c>
      <c r="C614" s="4" t="inlineStr">
        <is>
          <t>In Progress</t>
        </is>
      </c>
      <c r="D614" s="4" t="inlineStr">
        <is>
          <t>Fixed fee</t>
        </is>
      </c>
      <c r="E614" s="4" t="inlineStr">
        <is>
          <t>Great Lakes</t>
        </is>
      </c>
      <c r="F614" s="4" t="inlineStr">
        <is>
          <t>Robin Mercado</t>
        </is>
      </c>
      <c r="G614" s="5" t="n">
        <v>56500</v>
      </c>
      <c r="H614" s="5" t="n">
        <v>17159.05</v>
      </c>
      <c r="I614" s="5" t="n">
        <v>16619.72</v>
      </c>
      <c r="J614" s="5" t="n">
        <v>40414.45</v>
      </c>
      <c r="K614" s="5" t="n">
        <v>40414.45</v>
      </c>
      <c r="L614" s="5" t="n">
        <v>0</v>
      </c>
      <c r="M614" s="5" t="n">
        <v>12273.01</v>
      </c>
      <c r="N614" s="5" t="n">
        <v>28141.44</v>
      </c>
      <c r="O614" s="5" t="n">
        <v>28141.44</v>
      </c>
      <c r="P614" s="4" t="n"/>
      <c r="Q614" s="6" t="n">
        <v>0.304</v>
      </c>
      <c r="R614" s="6" t="n">
        <v>0.3037</v>
      </c>
    </row>
    <row r="615">
      <c r="A615" s="4" t="inlineStr">
        <is>
          <t>26-PC-34394</t>
        </is>
      </c>
      <c r="B615" s="4" t="inlineStr">
        <is>
          <t>Ember Valley Battery Storage Maritime Remote Sensing Survey</t>
        </is>
      </c>
      <c r="C615" s="4" t="inlineStr">
        <is>
          <t>In Progress</t>
        </is>
      </c>
      <c r="D615" s="4" t="inlineStr">
        <is>
          <t>Time and material</t>
        </is>
      </c>
      <c r="E615" s="4" t="inlineStr">
        <is>
          <t>Great Lakes</t>
        </is>
      </c>
      <c r="F615" s="4" t="inlineStr">
        <is>
          <t>Angelica Cervantes</t>
        </is>
      </c>
      <c r="G615" s="5" t="n">
        <v>134200</v>
      </c>
      <c r="H615" s="5" t="n">
        <v>0</v>
      </c>
      <c r="I615" s="5" t="n">
        <v>0</v>
      </c>
      <c r="J615" s="5" t="n">
        <v>94370.11</v>
      </c>
      <c r="K615" s="5" t="n">
        <v>80628.03</v>
      </c>
      <c r="L615" s="5" t="n">
        <v>13742.08</v>
      </c>
      <c r="M615" s="5" t="n">
        <v>0</v>
      </c>
      <c r="N615" s="5" t="n">
        <v>94370.11</v>
      </c>
      <c r="O615" s="5" t="n">
        <v>80628.03</v>
      </c>
      <c r="P615" s="4" t="n"/>
      <c r="Q615" s="6" t="n">
        <v>0</v>
      </c>
      <c r="R615" s="6" t="n">
        <v>0</v>
      </c>
    </row>
    <row r="616">
      <c r="A616" s="4" t="inlineStr">
        <is>
          <t>26-PC-34400</t>
        </is>
      </c>
      <c r="B616" s="4" t="inlineStr">
        <is>
          <t>Wren Hollow Curation</t>
        </is>
      </c>
      <c r="C616" s="4" t="inlineStr">
        <is>
          <t>In Progress</t>
        </is>
      </c>
      <c r="D616" s="4" t="inlineStr">
        <is>
          <t>Fixed fee</t>
        </is>
      </c>
      <c r="E616" s="4" t="inlineStr">
        <is>
          <t>Great Lakes</t>
        </is>
      </c>
      <c r="F616" s="4" t="inlineStr">
        <is>
          <t>Leonard Mejia</t>
        </is>
      </c>
      <c r="G616" s="5" t="n">
        <v>34200</v>
      </c>
      <c r="H616" s="5" t="n">
        <v>2072.52</v>
      </c>
      <c r="I616" s="5" t="n">
        <v>1844.21</v>
      </c>
      <c r="J616" s="5" t="n">
        <v>23833.56</v>
      </c>
      <c r="K616" s="5" t="n">
        <v>20735.65</v>
      </c>
      <c r="L616" s="5" t="n">
        <v>3097.91</v>
      </c>
      <c r="M616" s="5" t="n">
        <v>1444.35</v>
      </c>
      <c r="N616" s="5" t="n">
        <v>22389.21</v>
      </c>
      <c r="O616" s="5" t="n">
        <v>19291.3</v>
      </c>
      <c r="P616" s="4" t="n"/>
      <c r="Q616" s="6" t="n">
        <v>0.061</v>
      </c>
      <c r="R616" s="6" t="n">
        <v>0.0606</v>
      </c>
    </row>
    <row r="617">
      <c r="A617" s="4" t="inlineStr">
        <is>
          <t>26-PC-34432</t>
        </is>
      </c>
      <c r="B617" s="4" t="inlineStr">
        <is>
          <t>Stone Mill Bridge Replacement - GIS Mapping</t>
        </is>
      </c>
      <c r="C617" s="4" t="inlineStr">
        <is>
          <t>Final Reporting/Review</t>
        </is>
      </c>
      <c r="D617" s="4" t="inlineStr">
        <is>
          <t>Fixed fee</t>
        </is>
      </c>
      <c r="E617" s="4" t="inlineStr">
        <is>
          <t>Great Lakes</t>
        </is>
      </c>
      <c r="F617" s="4" t="inlineStr">
        <is>
          <t>Reginald Koch</t>
        </is>
      </c>
      <c r="G617" s="5" t="n">
        <v>117900</v>
      </c>
      <c r="H617" s="5" t="n">
        <v>10245.51</v>
      </c>
      <c r="I617" s="5" t="n">
        <v>6103.62</v>
      </c>
      <c r="J617" s="5" t="n">
        <v>80620.02</v>
      </c>
      <c r="K617" s="5" t="n">
        <v>80620.02</v>
      </c>
      <c r="L617" s="5" t="n">
        <v>0</v>
      </c>
      <c r="M617" s="5" t="n">
        <v>7006.23</v>
      </c>
      <c r="N617" s="5" t="n">
        <v>73613.79000000001</v>
      </c>
      <c r="O617" s="5" t="n">
        <v>73613.79000000001</v>
      </c>
      <c r="P617" s="4" t="n"/>
      <c r="Q617" s="6" t="n">
        <v>0.08699999999999999</v>
      </c>
      <c r="R617" s="6" t="n">
        <v>0.08690000000000001</v>
      </c>
    </row>
    <row r="618">
      <c r="A618" s="4" t="inlineStr">
        <is>
          <t>26-PC-34477</t>
        </is>
      </c>
      <c r="B618" s="4" t="inlineStr">
        <is>
          <t>Willow Springs Pipeline - Cultural Resources Monitoring</t>
        </is>
      </c>
      <c r="C618" s="4" t="inlineStr">
        <is>
          <t>In Progress</t>
        </is>
      </c>
      <c r="D618" s="4" t="inlineStr">
        <is>
          <t>Fixed fee</t>
        </is>
      </c>
      <c r="E618" s="4" t="inlineStr">
        <is>
          <t>Great Lakes</t>
        </is>
      </c>
      <c r="F618" s="4" t="inlineStr">
        <is>
          <t>Geoffrey Fernandez</t>
        </is>
      </c>
      <c r="G618" s="5" t="n">
        <v>212500</v>
      </c>
      <c r="H618" s="5" t="n">
        <v>23481.25</v>
      </c>
      <c r="I618" s="5" t="n">
        <v>15454.44</v>
      </c>
      <c r="J618" s="5" t="n">
        <v>157143.75</v>
      </c>
      <c r="K618" s="5" t="n">
        <v>157143.75</v>
      </c>
      <c r="L618" s="5" t="n">
        <v>0</v>
      </c>
      <c r="M618" s="5" t="n">
        <v>17368.48</v>
      </c>
      <c r="N618" s="5" t="n">
        <v>139775.27</v>
      </c>
      <c r="O618" s="5" t="n">
        <v>139775.27</v>
      </c>
      <c r="P618" s="4" t="n"/>
      <c r="Q618" s="6" t="n">
        <v>0.111</v>
      </c>
      <c r="R618" s="6" t="n">
        <v>0.1105</v>
      </c>
    </row>
    <row r="619">
      <c r="A619" s="4" t="inlineStr">
        <is>
          <t>26-PC-34487</t>
        </is>
      </c>
      <c r="B619" s="4" t="inlineStr">
        <is>
          <t>Quail Run Airport Apron - Phase I Survey</t>
        </is>
      </c>
      <c r="C619" s="4" t="inlineStr">
        <is>
          <t>In Progress</t>
        </is>
      </c>
      <c r="D619" s="4" t="inlineStr">
        <is>
          <t>Time and material</t>
        </is>
      </c>
      <c r="E619" s="4" t="inlineStr">
        <is>
          <t>Great Lakes</t>
        </is>
      </c>
      <c r="F619" s="4" t="inlineStr">
        <is>
          <t>Jeff Pugh</t>
        </is>
      </c>
      <c r="G619" s="5" t="n">
        <v>488600</v>
      </c>
      <c r="H619" s="5" t="n">
        <v>212913.75</v>
      </c>
      <c r="I619" s="5" t="n">
        <v>171542.56</v>
      </c>
      <c r="J619" s="5" t="n">
        <v>348176.36</v>
      </c>
      <c r="K619" s="5" t="n">
        <v>348176.36</v>
      </c>
      <c r="L619" s="5" t="n">
        <v>0</v>
      </c>
      <c r="M619" s="5" t="n">
        <v>135902.87</v>
      </c>
      <c r="N619" s="5" t="n">
        <v>212273.49</v>
      </c>
      <c r="O619" s="5" t="n">
        <v>212273.49</v>
      </c>
      <c r="P619" s="4" t="n"/>
      <c r="Q619" s="6" t="n">
        <v>0.436</v>
      </c>
      <c r="R619" s="6" t="n">
        <v>0.3903</v>
      </c>
    </row>
    <row r="620">
      <c r="A620" s="4" t="inlineStr">
        <is>
          <t>26-PC-34552</t>
        </is>
      </c>
      <c r="B620" s="4" t="inlineStr">
        <is>
          <t>Blue Heron Mine Expansion Phase I Survey</t>
        </is>
      </c>
      <c r="C620" s="4" t="inlineStr">
        <is>
          <t>Lab/Curation</t>
        </is>
      </c>
      <c r="D620" s="4" t="inlineStr">
        <is>
          <t>Fixed fee</t>
        </is>
      </c>
      <c r="E620" s="4" t="inlineStr">
        <is>
          <t>Great Lakes</t>
        </is>
      </c>
      <c r="F620" s="4" t="inlineStr">
        <is>
          <t>Geoffrey Fernandez</t>
        </is>
      </c>
      <c r="G620" s="5" t="n">
        <v>245500</v>
      </c>
      <c r="H620" s="5" t="n">
        <v>4639.95</v>
      </c>
      <c r="I620" s="5" t="n">
        <v>2962.54</v>
      </c>
      <c r="J620" s="5" t="n">
        <v>205115.25</v>
      </c>
      <c r="K620" s="5" t="n">
        <v>205115.25</v>
      </c>
      <c r="L620" s="5" t="n">
        <v>0</v>
      </c>
      <c r="M620" s="5" t="n">
        <v>3881.67</v>
      </c>
      <c r="N620" s="5" t="n">
        <v>201233.58</v>
      </c>
      <c r="O620" s="5" t="n">
        <v>201233.58</v>
      </c>
      <c r="P620" s="4" t="n"/>
      <c r="Q620" s="6" t="n">
        <v>0.019</v>
      </c>
      <c r="R620" s="6" t="n">
        <v>0.0189</v>
      </c>
    </row>
    <row r="621">
      <c r="A621" s="4" t="inlineStr">
        <is>
          <t>26-PC-34602</t>
        </is>
      </c>
      <c r="B621" s="4" t="inlineStr">
        <is>
          <t>Phase III: Sandpiper Park Improvements Historic Resources Evaluation</t>
        </is>
      </c>
      <c r="C621" s="4" t="inlineStr">
        <is>
          <t>In Progress</t>
        </is>
      </c>
      <c r="D621" s="4" t="inlineStr">
        <is>
          <t>Fixed fee</t>
        </is>
      </c>
      <c r="E621" s="4" t="inlineStr">
        <is>
          <t>Great Lakes</t>
        </is>
      </c>
      <c r="F621" s="4" t="inlineStr">
        <is>
          <t>Brendan Padilla</t>
        </is>
      </c>
      <c r="G621" s="5" t="n">
        <v>36800</v>
      </c>
      <c r="H621" s="5" t="n">
        <v>32321.44</v>
      </c>
      <c r="I621" s="5" t="n">
        <v>28986.41</v>
      </c>
      <c r="J621" s="5" t="n">
        <v>26501.12</v>
      </c>
      <c r="K621" s="5" t="n">
        <v>21328.5</v>
      </c>
      <c r="L621" s="5" t="n">
        <v>5172.62</v>
      </c>
      <c r="M621" s="5" t="n">
        <v>23274.94</v>
      </c>
      <c r="N621" s="5" t="n">
        <v>3226.18</v>
      </c>
      <c r="O621" s="5" t="n">
        <v>-1946.439999999999</v>
      </c>
      <c r="P621" s="4" t="n"/>
      <c r="Q621" s="6" t="n">
        <v>0.878</v>
      </c>
      <c r="R621" s="6" t="n">
        <v>0.8783</v>
      </c>
    </row>
    <row r="622">
      <c r="A622" s="4" t="inlineStr">
        <is>
          <t>26-PC-34611</t>
        </is>
      </c>
      <c r="B622" s="4" t="inlineStr">
        <is>
          <t>Wren Hollow Pipeline Environmental Review Support</t>
        </is>
      </c>
      <c r="C622" s="4" t="inlineStr">
        <is>
          <t>In Progress</t>
        </is>
      </c>
      <c r="D622" s="4" t="inlineStr">
        <is>
          <t>Time and material</t>
        </is>
      </c>
      <c r="E622" s="4" t="inlineStr">
        <is>
          <t>Great Lakes</t>
        </is>
      </c>
      <c r="F622" s="4" t="inlineStr">
        <is>
          <t>Robin Mercado</t>
        </is>
      </c>
      <c r="G622" s="5" t="n">
        <v>365800</v>
      </c>
      <c r="H622" s="5" t="n">
        <v>0</v>
      </c>
      <c r="I622" s="5" t="n">
        <v>0</v>
      </c>
      <c r="J622" s="5" t="n">
        <v>264180.76</v>
      </c>
      <c r="K622" s="5" t="n">
        <v>264180.76</v>
      </c>
      <c r="L622" s="5" t="n">
        <v>0</v>
      </c>
      <c r="M622" s="5" t="n">
        <v>0</v>
      </c>
      <c r="N622" s="5" t="n">
        <v>264180.76</v>
      </c>
      <c r="O622" s="5" t="n">
        <v>264180.76</v>
      </c>
      <c r="P622" s="4" t="n"/>
      <c r="Q622" s="6" t="n">
        <v>0</v>
      </c>
      <c r="R622" s="6" t="n">
        <v>0</v>
      </c>
    </row>
    <row r="623">
      <c r="A623" s="4" t="inlineStr">
        <is>
          <t>26-PC-34725</t>
        </is>
      </c>
      <c r="B623" s="4" t="inlineStr">
        <is>
          <t>Redbud Paleontological Monitoring</t>
        </is>
      </c>
      <c r="C623" s="4" t="inlineStr">
        <is>
          <t>In Progress</t>
        </is>
      </c>
      <c r="D623" s="4" t="inlineStr">
        <is>
          <t>Fixed fee</t>
        </is>
      </c>
      <c r="E623" s="4" t="inlineStr">
        <is>
          <t>Great Lakes</t>
        </is>
      </c>
      <c r="F623" s="4" t="inlineStr">
        <is>
          <t>Kathleen Galvan</t>
        </is>
      </c>
      <c r="G623" s="5" t="n">
        <v>107600</v>
      </c>
      <c r="H623" s="5" t="n">
        <v>12083.48</v>
      </c>
      <c r="I623" s="5" t="n">
        <v>8872.18</v>
      </c>
      <c r="J623" s="5" t="n">
        <v>89211.16</v>
      </c>
      <c r="K623" s="5" t="n">
        <v>89211.16</v>
      </c>
      <c r="L623" s="5" t="n">
        <v>0</v>
      </c>
      <c r="M623" s="5" t="n">
        <v>10016.64</v>
      </c>
      <c r="N623" s="5" t="n">
        <v>79194.52</v>
      </c>
      <c r="O623" s="5" t="n">
        <v>79194.52</v>
      </c>
      <c r="P623" s="4" t="n"/>
      <c r="Q623" s="6" t="n">
        <v>0.112</v>
      </c>
      <c r="R623" s="6" t="n">
        <v>0.1123</v>
      </c>
    </row>
    <row r="624">
      <c r="A624" s="4" t="inlineStr">
        <is>
          <t>26-PC-34757</t>
        </is>
      </c>
      <c r="B624" s="4" t="inlineStr">
        <is>
          <t>Kestrel Butte Data Recovery</t>
        </is>
      </c>
      <c r="C624" s="4" t="inlineStr">
        <is>
          <t>In Progress</t>
        </is>
      </c>
      <c r="D624" s="4" t="inlineStr">
        <is>
          <t>Time and material</t>
        </is>
      </c>
      <c r="E624" s="4" t="inlineStr">
        <is>
          <t>Great Lakes</t>
        </is>
      </c>
      <c r="F624" s="4" t="inlineStr">
        <is>
          <t>Angelica Cervantes</t>
        </is>
      </c>
      <c r="G624" s="5" t="n">
        <v>43800</v>
      </c>
      <c r="H624" s="5" t="n">
        <v>43800</v>
      </c>
      <c r="I624" s="5" t="n">
        <v>29653.46</v>
      </c>
      <c r="J624" s="5" t="n">
        <v>30230.76</v>
      </c>
      <c r="K624" s="5" t="n">
        <v>30230.76</v>
      </c>
      <c r="L624" s="5" t="n">
        <v>0</v>
      </c>
      <c r="M624" s="5" t="n">
        <v>49508.25</v>
      </c>
      <c r="N624" s="5" t="n">
        <v>-19277.49</v>
      </c>
      <c r="O624" s="5" t="n">
        <v>-19277.49</v>
      </c>
      <c r="P624" s="4" t="n"/>
      <c r="Q624" s="6" t="n">
        <v>1</v>
      </c>
      <c r="R624" s="6" t="n">
        <v>1.6377</v>
      </c>
    </row>
    <row r="625">
      <c r="A625" s="4" t="inlineStr">
        <is>
          <t>26-PC-34906</t>
        </is>
      </c>
      <c r="B625" s="4" t="inlineStr">
        <is>
          <t>Cedar Hollow Harbor Dredging - Curation</t>
        </is>
      </c>
      <c r="C625" s="4" t="inlineStr">
        <is>
          <t>In Progress</t>
        </is>
      </c>
      <c r="D625" s="4" t="inlineStr">
        <is>
          <t>Fixed fee</t>
        </is>
      </c>
      <c r="E625" s="4" t="inlineStr">
        <is>
          <t>Gulf Coast</t>
        </is>
      </c>
      <c r="F625" s="4" t="inlineStr">
        <is>
          <t>Sean Jennings</t>
        </is>
      </c>
      <c r="G625" s="5" t="n">
        <v>81100</v>
      </c>
      <c r="H625" s="5" t="n">
        <v>41961.14</v>
      </c>
      <c r="I625" s="5" t="n">
        <v>34013.4</v>
      </c>
      <c r="J625" s="5" t="n">
        <v>60821.43</v>
      </c>
      <c r="K625" s="5" t="n">
        <v>44369.15</v>
      </c>
      <c r="L625" s="5" t="n">
        <v>16452.28</v>
      </c>
      <c r="M625" s="5" t="n">
        <v>31471.96</v>
      </c>
      <c r="N625" s="5" t="n">
        <v>29349.47</v>
      </c>
      <c r="O625" s="5" t="n">
        <v>12897.19</v>
      </c>
      <c r="P625" s="4" t="n"/>
      <c r="Q625" s="6" t="n">
        <v>0.517</v>
      </c>
      <c r="R625" s="6" t="n">
        <v>0.5174</v>
      </c>
    </row>
    <row r="626">
      <c r="A626" s="4" t="inlineStr">
        <is>
          <t>26-PC-34965</t>
        </is>
      </c>
      <c r="B626" s="4" t="inlineStr">
        <is>
          <t>On-Call: Pebble Beach Road Fiber Route Section 106 Consultation</t>
        </is>
      </c>
      <c r="C626" s="4" t="inlineStr">
        <is>
          <t>Final Reporting/Review</t>
        </is>
      </c>
      <c r="D626" s="4" t="inlineStr">
        <is>
          <t>Fixed fee</t>
        </is>
      </c>
      <c r="E626" s="4" t="inlineStr">
        <is>
          <t>Gulf Coast East</t>
        </is>
      </c>
      <c r="F626" s="4" t="inlineStr">
        <is>
          <t>Wyatt Erickson</t>
        </is>
      </c>
      <c r="G626" s="5" t="n">
        <v>131600</v>
      </c>
      <c r="H626" s="5" t="n">
        <v>0</v>
      </c>
      <c r="I626" s="5" t="n">
        <v>0</v>
      </c>
      <c r="J626" s="5" t="n">
        <v>95225.75999999999</v>
      </c>
      <c r="K626" s="5" t="n">
        <v>95225.75999999999</v>
      </c>
      <c r="L626" s="5" t="n">
        <v>0</v>
      </c>
      <c r="M626" s="5" t="n">
        <v>0</v>
      </c>
      <c r="N626" s="5" t="n">
        <v>95225.75999999999</v>
      </c>
      <c r="O626" s="5" t="n">
        <v>95225.75999999999</v>
      </c>
      <c r="P626" s="4" t="n"/>
      <c r="Q626" s="6" t="n">
        <v>0</v>
      </c>
      <c r="R626" s="6" t="n">
        <v>0</v>
      </c>
    </row>
    <row r="627">
      <c r="A627" s="4" t="inlineStr">
        <is>
          <t>26-PC-34982</t>
        </is>
      </c>
      <c r="B627" s="4" t="inlineStr">
        <is>
          <t>Sandpiper Historic Resources Evaluation</t>
        </is>
      </c>
      <c r="C627" s="4" t="inlineStr">
        <is>
          <t>In Progress</t>
        </is>
      </c>
      <c r="D627" s="4" t="inlineStr">
        <is>
          <t>Time and material</t>
        </is>
      </c>
      <c r="E627" s="4" t="inlineStr">
        <is>
          <t>Gulf Coast West</t>
        </is>
      </c>
      <c r="F627" s="4" t="inlineStr">
        <is>
          <t>Bernard Erickson</t>
        </is>
      </c>
      <c r="G627" s="5" t="n">
        <v>10600</v>
      </c>
      <c r="H627" s="5" t="n">
        <v>10600</v>
      </c>
      <c r="I627" s="5" t="n">
        <v>7692.83</v>
      </c>
      <c r="J627" s="5" t="n">
        <v>7895.94</v>
      </c>
      <c r="K627" s="5" t="n">
        <v>7895.94</v>
      </c>
      <c r="L627" s="5" t="n">
        <v>0</v>
      </c>
      <c r="M627" s="5" t="n">
        <v>18818.09</v>
      </c>
      <c r="N627" s="5" t="n">
        <v>-10922.15</v>
      </c>
      <c r="O627" s="5" t="n">
        <v>-10922.15</v>
      </c>
      <c r="P627" s="4" t="n"/>
      <c r="Q627" s="6" t="n">
        <v>1</v>
      </c>
      <c r="R627" s="6" t="n">
        <v>2.3833</v>
      </c>
    </row>
    <row r="628">
      <c r="A628" s="4" t="inlineStr">
        <is>
          <t>26-PC-35056</t>
        </is>
      </c>
      <c r="B628" s="4" t="inlineStr">
        <is>
          <t>Yarrow Point Cell Tower - Section 106 Consultation</t>
        </is>
      </c>
      <c r="C628" s="4" t="inlineStr">
        <is>
          <t>Lab/Curation</t>
        </is>
      </c>
      <c r="D628" s="4" t="inlineStr">
        <is>
          <t>Fixed fee</t>
        </is>
      </c>
      <c r="E628" s="4" t="inlineStr">
        <is>
          <t>Gulf Coast West</t>
        </is>
      </c>
      <c r="F628" s="4" t="inlineStr">
        <is>
          <t>Sean Jennings</t>
        </is>
      </c>
      <c r="G628" s="5" t="n">
        <v>92800</v>
      </c>
      <c r="H628" s="5" t="n">
        <v>46381.44</v>
      </c>
      <c r="I628" s="5" t="n">
        <v>43606.66</v>
      </c>
      <c r="J628" s="5" t="n">
        <v>78555.2</v>
      </c>
      <c r="K628" s="5" t="n">
        <v>78555.2</v>
      </c>
      <c r="L628" s="5" t="n">
        <v>0</v>
      </c>
      <c r="M628" s="5" t="n">
        <v>39261.22</v>
      </c>
      <c r="N628" s="5" t="n">
        <v>39293.98</v>
      </c>
      <c r="O628" s="5" t="n">
        <v>39293.98</v>
      </c>
      <c r="P628" s="4" t="n"/>
      <c r="Q628" s="6" t="n">
        <v>0.5</v>
      </c>
      <c r="R628" s="6" t="n">
        <v>0.4998</v>
      </c>
    </row>
    <row r="629">
      <c r="A629" s="4" t="inlineStr">
        <is>
          <t>26-PC-35062</t>
        </is>
      </c>
      <c r="B629" s="4" t="inlineStr">
        <is>
          <t>Phase I: Falcon Mesa Park Improvements Data Recovery</t>
        </is>
      </c>
      <c r="C629" s="4" t="inlineStr">
        <is>
          <t>In Progress</t>
        </is>
      </c>
      <c r="D629" s="4" t="inlineStr">
        <is>
          <t>Fixed fee</t>
        </is>
      </c>
      <c r="E629" s="4" t="inlineStr">
        <is>
          <t>Gulf Coast East</t>
        </is>
      </c>
      <c r="F629" s="4" t="inlineStr">
        <is>
          <t>Bernard Erickson</t>
        </is>
      </c>
      <c r="G629" s="5" t="n">
        <v>267300</v>
      </c>
      <c r="H629" s="5" t="n">
        <v>30659.31</v>
      </c>
      <c r="I629" s="5" t="n">
        <v>4507.74</v>
      </c>
      <c r="J629" s="5" t="n">
        <v>207542.06</v>
      </c>
      <c r="K629" s="5" t="n">
        <v>185979.15</v>
      </c>
      <c r="L629" s="5" t="n">
        <v>21562.91</v>
      </c>
      <c r="M629" s="5" t="n">
        <v>23807.74</v>
      </c>
      <c r="N629" s="5" t="n">
        <v>183734.32</v>
      </c>
      <c r="O629" s="5" t="n">
        <v>162171.41</v>
      </c>
      <c r="P629" s="4" t="n"/>
      <c r="Q629" s="6" t="n">
        <v>0.115</v>
      </c>
      <c r="R629" s="6" t="n">
        <v>0.1147</v>
      </c>
    </row>
    <row r="630">
      <c r="A630" s="4" t="inlineStr">
        <is>
          <t>26-PC-35063</t>
        </is>
      </c>
      <c r="B630" s="4" t="inlineStr">
        <is>
          <t>Meadowlark School Campus - Phase I Survey</t>
        </is>
      </c>
      <c r="C630" s="4" t="inlineStr">
        <is>
          <t>Final Reporting/Review</t>
        </is>
      </c>
      <c r="D630" s="4" t="inlineStr">
        <is>
          <t>Fixed fee</t>
        </is>
      </c>
      <c r="E630" s="4" t="inlineStr">
        <is>
          <t>Gulf Coast East</t>
        </is>
      </c>
      <c r="F630" s="4" t="inlineStr">
        <is>
          <t>Bernard Erickson</t>
        </is>
      </c>
      <c r="G630" s="5" t="n">
        <v>112100</v>
      </c>
      <c r="H630" s="5" t="n">
        <v>59166.38</v>
      </c>
      <c r="I630" s="5" t="n">
        <v>53777.48</v>
      </c>
      <c r="J630" s="5" t="n">
        <v>70129.75999999999</v>
      </c>
      <c r="K630" s="5" t="n">
        <v>70129.75999999999</v>
      </c>
      <c r="L630" s="5" t="n">
        <v>0</v>
      </c>
      <c r="M630" s="5" t="n">
        <v>37016.5</v>
      </c>
      <c r="N630" s="5" t="n">
        <v>33113.25999999999</v>
      </c>
      <c r="O630" s="5" t="n">
        <v>33113.25999999999</v>
      </c>
      <c r="P630" s="4" t="n"/>
      <c r="Q630" s="6" t="n">
        <v>0.528</v>
      </c>
      <c r="R630" s="6" t="n">
        <v>0.5278</v>
      </c>
    </row>
    <row r="631">
      <c r="A631" s="4" t="inlineStr">
        <is>
          <t>26-PC-35103</t>
        </is>
      </c>
      <c r="B631" s="4" t="inlineStr">
        <is>
          <t>Kestrel Butte Harbor Dredging - Historic Resources Evaluation</t>
        </is>
      </c>
      <c r="C631" s="4" t="inlineStr">
        <is>
          <t>In Progress</t>
        </is>
      </c>
      <c r="D631" s="4" t="inlineStr">
        <is>
          <t>Fixed fee</t>
        </is>
      </c>
      <c r="E631" s="4" t="inlineStr">
        <is>
          <t>Gulf Coast East</t>
        </is>
      </c>
      <c r="F631" s="4" t="inlineStr">
        <is>
          <t>Courtney Daugherty</t>
        </is>
      </c>
      <c r="G631" s="5" t="n">
        <v>29600</v>
      </c>
      <c r="H631" s="5" t="n">
        <v>29600</v>
      </c>
      <c r="I631" s="5" t="n">
        <v>22003.12</v>
      </c>
      <c r="J631" s="5" t="n">
        <v>19287.36</v>
      </c>
      <c r="K631" s="5" t="n">
        <v>19287.36</v>
      </c>
      <c r="L631" s="5" t="n">
        <v>0</v>
      </c>
      <c r="M631" s="5" t="n">
        <v>56287.28</v>
      </c>
      <c r="N631" s="5" t="n">
        <v>-36999.92</v>
      </c>
      <c r="O631" s="5" t="n">
        <v>-36999.92</v>
      </c>
      <c r="P631" s="4" t="n"/>
      <c r="Q631" s="6" t="n">
        <v>1</v>
      </c>
      <c r="R631" s="6" t="n">
        <v>2.9184</v>
      </c>
    </row>
    <row r="632">
      <c r="A632" s="4" t="inlineStr">
        <is>
          <t>26-PC-35158</t>
        </is>
      </c>
      <c r="B632" s="4" t="inlineStr">
        <is>
          <t>Sparrow Hill Trail Phase I Survey</t>
        </is>
      </c>
      <c r="C632" s="4" t="inlineStr">
        <is>
          <t>In Progress</t>
        </is>
      </c>
      <c r="D632" s="4" t="inlineStr">
        <is>
          <t>Fixed fee</t>
        </is>
      </c>
      <c r="E632" s="4" t="inlineStr">
        <is>
          <t>Gulf Coast</t>
        </is>
      </c>
      <c r="F632" s="4" t="inlineStr">
        <is>
          <t>Bernard Erickson</t>
        </is>
      </c>
      <c r="G632" s="5" t="n">
        <v>41600</v>
      </c>
      <c r="H632" s="5" t="n">
        <v>12629.76</v>
      </c>
      <c r="I632" s="5" t="n">
        <v>5669.01</v>
      </c>
      <c r="J632" s="5" t="n">
        <v>27755.93</v>
      </c>
      <c r="K632" s="5" t="n">
        <v>24147.48</v>
      </c>
      <c r="L632" s="5" t="n">
        <v>3608.45</v>
      </c>
      <c r="M632" s="5" t="n">
        <v>8426.77</v>
      </c>
      <c r="N632" s="5" t="n">
        <v>19329.16</v>
      </c>
      <c r="O632" s="5" t="n">
        <v>15720.71</v>
      </c>
      <c r="P632" s="4" t="n"/>
      <c r="Q632" s="6" t="n">
        <v>0.304</v>
      </c>
      <c r="R632" s="6" t="n">
        <v>0.3036</v>
      </c>
    </row>
    <row r="633">
      <c r="A633" s="4" t="inlineStr">
        <is>
          <t>26-PC-35193</t>
        </is>
      </c>
      <c r="B633" s="4" t="inlineStr">
        <is>
          <t>Heron Marsh Reservoir - Phase II Testing</t>
        </is>
      </c>
      <c r="C633" s="4" t="inlineStr">
        <is>
          <t>In Progress</t>
        </is>
      </c>
      <c r="D633" s="4" t="inlineStr">
        <is>
          <t>Fixed fee</t>
        </is>
      </c>
      <c r="E633" s="4" t="inlineStr">
        <is>
          <t>Gulf Coast East</t>
        </is>
      </c>
      <c r="F633" s="4" t="inlineStr">
        <is>
          <t>Courtney Daugherty</t>
        </is>
      </c>
      <c r="G633" s="5" t="n">
        <v>102600</v>
      </c>
      <c r="H633" s="5" t="n">
        <v>82510.92</v>
      </c>
      <c r="I633" s="5" t="n">
        <v>71608.17999999999</v>
      </c>
      <c r="J633" s="5" t="n">
        <v>74022.89</v>
      </c>
      <c r="K633" s="5" t="n">
        <v>54115.25</v>
      </c>
      <c r="L633" s="5" t="n">
        <v>19907.64</v>
      </c>
      <c r="M633" s="5" t="n">
        <v>59527.5</v>
      </c>
      <c r="N633" s="5" t="n">
        <v>14495.39</v>
      </c>
      <c r="O633" s="5" t="n">
        <v>-5412.25</v>
      </c>
      <c r="P633" s="4" t="n"/>
      <c r="Q633" s="6" t="n">
        <v>0.804</v>
      </c>
      <c r="R633" s="6" t="n">
        <v>0.8042</v>
      </c>
    </row>
    <row r="634">
      <c r="A634" s="4" t="inlineStr">
        <is>
          <t>26-PC-35201</t>
        </is>
      </c>
      <c r="B634" s="4" t="inlineStr">
        <is>
          <t>Plover Cove Transmission Line Data Recovery</t>
        </is>
      </c>
      <c r="C634" s="4" t="inlineStr">
        <is>
          <t>Lab/Curation</t>
        </is>
      </c>
      <c r="D634" s="4" t="inlineStr">
        <is>
          <t>Fixed fee</t>
        </is>
      </c>
      <c r="E634" s="4" t="inlineStr">
        <is>
          <t>Gulf Coast</t>
        </is>
      </c>
      <c r="F634" s="4" t="inlineStr">
        <is>
          <t>Sean Jennings</t>
        </is>
      </c>
      <c r="G634" s="5" t="n">
        <v>51600</v>
      </c>
      <c r="H634" s="5" t="n">
        <v>1558.32</v>
      </c>
      <c r="I634" s="5" t="n">
        <v>145.25</v>
      </c>
      <c r="J634" s="5" t="n">
        <v>40057.08</v>
      </c>
      <c r="K634" s="5" t="n">
        <v>40057.08</v>
      </c>
      <c r="L634" s="5" t="n">
        <v>0</v>
      </c>
      <c r="M634" s="5" t="n">
        <v>1211.47</v>
      </c>
      <c r="N634" s="5" t="n">
        <v>38845.61</v>
      </c>
      <c r="O634" s="5" t="n">
        <v>38845.61</v>
      </c>
      <c r="P634" s="4" t="n"/>
      <c r="Q634" s="6" t="n">
        <v>0.03</v>
      </c>
      <c r="R634" s="6" t="n">
        <v>0.0302</v>
      </c>
    </row>
    <row r="635">
      <c r="A635" s="4" t="inlineStr">
        <is>
          <t>26-PC-35220</t>
        </is>
      </c>
      <c r="B635" s="4" t="inlineStr">
        <is>
          <t>Badger Hollow Highway Widening GIS Mapping</t>
        </is>
      </c>
      <c r="C635" s="4" t="inlineStr">
        <is>
          <t>In Progress</t>
        </is>
      </c>
      <c r="D635" s="4" t="inlineStr">
        <is>
          <t>Time and material</t>
        </is>
      </c>
      <c r="E635" s="4" t="inlineStr">
        <is>
          <t>Gulf Coast West</t>
        </is>
      </c>
      <c r="F635" s="4" t="inlineStr">
        <is>
          <t>Bernard Erickson</t>
        </is>
      </c>
      <c r="G635" s="5" t="n">
        <v>109500</v>
      </c>
      <c r="H635" s="5" t="n">
        <v>4400.75</v>
      </c>
      <c r="I635" s="5" t="n">
        <v>1288.42</v>
      </c>
      <c r="J635" s="5" t="n">
        <v>69598.2</v>
      </c>
      <c r="K635" s="5" t="n">
        <v>69598.2</v>
      </c>
      <c r="L635" s="5" t="n">
        <v>0</v>
      </c>
      <c r="M635" s="5" t="n">
        <v>3074.48</v>
      </c>
      <c r="N635" s="5" t="n">
        <v>66523.72</v>
      </c>
      <c r="O635" s="5" t="n">
        <v>66523.72</v>
      </c>
      <c r="P635" s="4" t="n"/>
      <c r="Q635" s="6" t="n">
        <v>0.04</v>
      </c>
      <c r="R635" s="6" t="n">
        <v>0.0442</v>
      </c>
    </row>
    <row r="636">
      <c r="A636" s="4" t="inlineStr">
        <is>
          <t>26-PC-35302</t>
        </is>
      </c>
      <c r="B636" s="4" t="inlineStr">
        <is>
          <t>Task Order 37: Hackberry Bend Battery Storage Cultural Resources Monitoring</t>
        </is>
      </c>
      <c r="C636" s="4" t="inlineStr">
        <is>
          <t>In Progress</t>
        </is>
      </c>
      <c r="D636" s="4" t="inlineStr">
        <is>
          <t>Fixed fee</t>
        </is>
      </c>
      <c r="E636" s="4" t="inlineStr">
        <is>
          <t>Gulf Coast East</t>
        </is>
      </c>
      <c r="F636" s="4" t="inlineStr">
        <is>
          <t>Bernard Erickson</t>
        </is>
      </c>
      <c r="G636" s="5" t="n">
        <v>82400</v>
      </c>
      <c r="H636" s="5" t="n">
        <v>32292.56</v>
      </c>
      <c r="I636" s="5" t="n">
        <v>21108.58</v>
      </c>
      <c r="J636" s="5" t="n">
        <v>69199.52</v>
      </c>
      <c r="K636" s="5" t="n">
        <v>69199.52</v>
      </c>
      <c r="L636" s="5" t="n">
        <v>0</v>
      </c>
      <c r="M636" s="5" t="n">
        <v>27118.13</v>
      </c>
      <c r="N636" s="5" t="n">
        <v>42081.39</v>
      </c>
      <c r="O636" s="5" t="n">
        <v>42081.39</v>
      </c>
      <c r="P636" s="4" t="n"/>
      <c r="Q636" s="6" t="n">
        <v>0.392</v>
      </c>
      <c r="R636" s="6" t="n">
        <v>0.3919</v>
      </c>
    </row>
    <row r="637">
      <c r="A637" s="4" t="inlineStr">
        <is>
          <t>26-PC-35318</t>
        </is>
      </c>
      <c r="B637" s="4" t="inlineStr">
        <is>
          <t>Copper Flats Curation</t>
        </is>
      </c>
      <c r="C637" s="4" t="inlineStr">
        <is>
          <t>In Progress</t>
        </is>
      </c>
      <c r="D637" s="4" t="inlineStr">
        <is>
          <t>Fixed fee</t>
        </is>
      </c>
      <c r="E637" s="4" t="inlineStr">
        <is>
          <t>Gulf Coast West</t>
        </is>
      </c>
      <c r="F637" s="4" t="inlineStr">
        <is>
          <t>Wyatt Erickson</t>
        </is>
      </c>
      <c r="G637" s="5" t="n">
        <v>153900</v>
      </c>
      <c r="H637" s="5" t="n">
        <v>37289.97</v>
      </c>
      <c r="I637" s="5" t="n">
        <v>27419.19</v>
      </c>
      <c r="J637" s="5" t="n">
        <v>103851.72</v>
      </c>
      <c r="K637" s="5" t="n">
        <v>103851.72</v>
      </c>
      <c r="L637" s="5" t="n">
        <v>0</v>
      </c>
      <c r="M637" s="5" t="n">
        <v>25162.21</v>
      </c>
      <c r="N637" s="5" t="n">
        <v>78689.51000000001</v>
      </c>
      <c r="O637" s="5" t="n">
        <v>78689.51000000001</v>
      </c>
      <c r="P637" s="4" t="n"/>
      <c r="Q637" s="6" t="n">
        <v>0.242</v>
      </c>
      <c r="R637" s="6" t="n">
        <v>0.2423</v>
      </c>
    </row>
    <row r="638">
      <c r="A638" s="4" t="inlineStr">
        <is>
          <t>26-PC-35381</t>
        </is>
      </c>
      <c r="B638" s="4" t="inlineStr">
        <is>
          <t>Badger Hollow Mine Expansion Archaeological Testing</t>
        </is>
      </c>
      <c r="C638" s="4" t="inlineStr">
        <is>
          <t>In Progress</t>
        </is>
      </c>
      <c r="D638" s="4" t="inlineStr">
        <is>
          <t>Fixed fee</t>
        </is>
      </c>
      <c r="E638" s="4" t="inlineStr">
        <is>
          <t>High Desert</t>
        </is>
      </c>
      <c r="F638" s="4" t="inlineStr">
        <is>
          <t>Bridget Maddox</t>
        </is>
      </c>
      <c r="G638" s="5" t="n">
        <v>77800</v>
      </c>
      <c r="H638" s="5" t="n">
        <v>56210.5</v>
      </c>
      <c r="I638" s="5" t="n">
        <v>45584.74</v>
      </c>
      <c r="J638" s="5" t="n">
        <v>51064.93</v>
      </c>
      <c r="K638" s="5" t="n">
        <v>45374</v>
      </c>
      <c r="L638" s="5" t="n">
        <v>5690.93</v>
      </c>
      <c r="M638" s="5" t="n">
        <v>36896.81</v>
      </c>
      <c r="N638" s="5" t="n">
        <v>14168.12</v>
      </c>
      <c r="O638" s="5" t="n">
        <v>8477.190000000002</v>
      </c>
      <c r="P638" s="4" t="n"/>
      <c r="Q638" s="6" t="n">
        <v>0.723</v>
      </c>
      <c r="R638" s="6" t="n">
        <v>0.7225</v>
      </c>
    </row>
    <row r="639">
      <c r="A639" s="4" t="inlineStr">
        <is>
          <t>26-PC-35401</t>
        </is>
      </c>
      <c r="B639" s="4" t="inlineStr">
        <is>
          <t>Raven Rock Phase II Testing</t>
        </is>
      </c>
      <c r="C639" s="4" t="inlineStr">
        <is>
          <t>In Progress</t>
        </is>
      </c>
      <c r="D639" s="4" t="inlineStr">
        <is>
          <t>Time and material</t>
        </is>
      </c>
      <c r="E639" s="4" t="inlineStr">
        <is>
          <t>High Desert</t>
        </is>
      </c>
      <c r="F639" s="4" t="inlineStr">
        <is>
          <t>Bridget Maddox</t>
        </is>
      </c>
      <c r="G639" s="5" t="n">
        <v>312900</v>
      </c>
      <c r="H639" s="5" t="n">
        <v>35485.5</v>
      </c>
      <c r="I639" s="5" t="n">
        <v>8384.379999999999</v>
      </c>
      <c r="J639" s="5" t="n">
        <v>205376.26</v>
      </c>
      <c r="K639" s="5" t="n">
        <v>152268.46</v>
      </c>
      <c r="L639" s="5" t="n">
        <v>53107.8</v>
      </c>
      <c r="M639" s="5" t="n">
        <v>21093.83</v>
      </c>
      <c r="N639" s="5" t="n">
        <v>184282.43</v>
      </c>
      <c r="O639" s="5" t="n">
        <v>131174.63</v>
      </c>
      <c r="P639" s="4" t="n"/>
      <c r="Q639" s="6" t="n">
        <v>0.113</v>
      </c>
      <c r="R639" s="6" t="n">
        <v>0.1027</v>
      </c>
    </row>
    <row r="640">
      <c r="A640" s="4" t="inlineStr">
        <is>
          <t>26-PC-35449</t>
        </is>
      </c>
      <c r="B640" s="4" t="inlineStr">
        <is>
          <t>Saltgrass Cultural Resources Monitoring</t>
        </is>
      </c>
      <c r="C640" s="4" t="inlineStr">
        <is>
          <t>In Progress</t>
        </is>
      </c>
      <c r="D640" s="4" t="inlineStr">
        <is>
          <t>Time and material</t>
        </is>
      </c>
      <c r="E640" s="4" t="inlineStr">
        <is>
          <t>High Desert</t>
        </is>
      </c>
      <c r="F640" s="4" t="inlineStr">
        <is>
          <t>Bridget Maddox</t>
        </is>
      </c>
      <c r="G640" s="5" t="n">
        <v>145800</v>
      </c>
      <c r="H640" s="5" t="n">
        <v>31446</v>
      </c>
      <c r="I640" s="5" t="n">
        <v>7978.96</v>
      </c>
      <c r="J640" s="5" t="n">
        <v>103226.4</v>
      </c>
      <c r="K640" s="5" t="n">
        <v>103226.4</v>
      </c>
      <c r="L640" s="5" t="n">
        <v>0</v>
      </c>
      <c r="M640" s="5" t="n">
        <v>22115.43</v>
      </c>
      <c r="N640" s="5" t="n">
        <v>81110.97</v>
      </c>
      <c r="O640" s="5" t="n">
        <v>81110.97</v>
      </c>
      <c r="P640" s="4" t="n"/>
      <c r="Q640" s="6" t="n">
        <v>0.216</v>
      </c>
      <c r="R640" s="6" t="n">
        <v>0.2142</v>
      </c>
    </row>
    <row r="641">
      <c r="A641" s="4" t="inlineStr">
        <is>
          <t>26-PC-35510</t>
        </is>
      </c>
      <c r="B641" s="4" t="inlineStr">
        <is>
          <t>Blue Heron Wind Farm - Phase I Survey</t>
        </is>
      </c>
      <c r="C641" s="4" t="inlineStr">
        <is>
          <t>In Progress</t>
        </is>
      </c>
      <c r="D641" s="4" t="inlineStr">
        <is>
          <t>Fixed fee</t>
        </is>
      </c>
      <c r="E641" s="4" t="inlineStr">
        <is>
          <t>High Desert</t>
        </is>
      </c>
      <c r="F641" s="4" t="inlineStr">
        <is>
          <t>Eileen Poole</t>
        </is>
      </c>
      <c r="G641" s="5" t="n">
        <v>68900</v>
      </c>
      <c r="H641" s="5" t="n">
        <v>59529.6</v>
      </c>
      <c r="I641" s="5" t="n">
        <v>49947.75</v>
      </c>
      <c r="J641" s="5" t="n">
        <v>53679.99</v>
      </c>
      <c r="K641" s="5" t="n">
        <v>53679.99</v>
      </c>
      <c r="L641" s="5" t="n">
        <v>0</v>
      </c>
      <c r="M641" s="5" t="n">
        <v>46380.29</v>
      </c>
      <c r="N641" s="5" t="n">
        <v>7299.699999999997</v>
      </c>
      <c r="O641" s="5" t="n">
        <v>7299.699999999997</v>
      </c>
      <c r="P641" s="4" t="n"/>
      <c r="Q641" s="6" t="n">
        <v>0.864</v>
      </c>
      <c r="R641" s="6" t="n">
        <v>0.864</v>
      </c>
    </row>
    <row r="642">
      <c r="A642" s="4" t="inlineStr">
        <is>
          <t>26-PC-35583</t>
        </is>
      </c>
      <c r="B642" s="4" t="inlineStr">
        <is>
          <t>On-Call: Eagle Bend Highway Widening Phase II Testing</t>
        </is>
      </c>
      <c r="C642" s="4" t="inlineStr">
        <is>
          <t>In Progress</t>
        </is>
      </c>
      <c r="D642" s="4" t="inlineStr">
        <is>
          <t>Time and material</t>
        </is>
      </c>
      <c r="E642" s="4" t="inlineStr">
        <is>
          <t>High Desert</t>
        </is>
      </c>
      <c r="F642" s="4" t="inlineStr">
        <is>
          <t>Jody Wang</t>
        </is>
      </c>
      <c r="G642" s="5" t="n">
        <v>39700</v>
      </c>
      <c r="H642" s="5" t="n">
        <v>2479.5</v>
      </c>
      <c r="I642" s="5" t="n">
        <v>721.99</v>
      </c>
      <c r="J642" s="5" t="n">
        <v>28536.36</v>
      </c>
      <c r="K642" s="5" t="n">
        <v>28536.36</v>
      </c>
      <c r="L642" s="5" t="n">
        <v>0</v>
      </c>
      <c r="M642" s="5" t="n">
        <v>1470.29</v>
      </c>
      <c r="N642" s="5" t="n">
        <v>27066.07</v>
      </c>
      <c r="O642" s="5" t="n">
        <v>27066.07</v>
      </c>
      <c r="P642" s="4" t="n"/>
      <c r="Q642" s="6" t="n">
        <v>0.062</v>
      </c>
      <c r="R642" s="6" t="n">
        <v>0.0515</v>
      </c>
    </row>
    <row r="643">
      <c r="A643" s="4" t="inlineStr">
        <is>
          <t>26-PC-35596</t>
        </is>
      </c>
      <c r="B643" s="4" t="inlineStr">
        <is>
          <t>Millbrook Solar GIS Mapping</t>
        </is>
      </c>
      <c r="C643" s="4" t="inlineStr">
        <is>
          <t>Lab/Curation</t>
        </is>
      </c>
      <c r="D643" s="4" t="inlineStr">
        <is>
          <t>Fixed fee</t>
        </is>
      </c>
      <c r="E643" s="4" t="inlineStr">
        <is>
          <t>High Desert</t>
        </is>
      </c>
      <c r="F643" s="4" t="inlineStr">
        <is>
          <t>Eileen Poole</t>
        </is>
      </c>
      <c r="G643" s="5" t="n">
        <v>197200</v>
      </c>
      <c r="H643" s="5" t="n">
        <v>42141.64</v>
      </c>
      <c r="I643" s="5" t="n">
        <v>27554.12</v>
      </c>
      <c r="J643" s="5" t="n">
        <v>149142.36</v>
      </c>
      <c r="K643" s="5" t="n">
        <v>149142.36</v>
      </c>
      <c r="L643" s="5" t="n">
        <v>0</v>
      </c>
      <c r="M643" s="5" t="n">
        <v>31870.85</v>
      </c>
      <c r="N643" s="5" t="n">
        <v>117271.51</v>
      </c>
      <c r="O643" s="5" t="n">
        <v>117271.51</v>
      </c>
      <c r="P643" s="4" t="n"/>
      <c r="Q643" s="6" t="n">
        <v>0.214</v>
      </c>
      <c r="R643" s="6" t="n">
        <v>0.2137</v>
      </c>
    </row>
    <row r="644">
      <c r="A644" s="4" t="inlineStr">
        <is>
          <t>26-PC-35635</t>
        </is>
      </c>
      <c r="B644" s="4" t="inlineStr">
        <is>
          <t>Wren Hollow Architectural History Survey</t>
        </is>
      </c>
      <c r="C644" s="4" t="inlineStr">
        <is>
          <t>In Progress</t>
        </is>
      </c>
      <c r="D644" s="4" t="inlineStr">
        <is>
          <t>Fixed fee</t>
        </is>
      </c>
      <c r="E644" s="4" t="inlineStr">
        <is>
          <t>High Desert</t>
        </is>
      </c>
      <c r="F644" s="4" t="inlineStr">
        <is>
          <t>Eileen Poole</t>
        </is>
      </c>
      <c r="G644" s="5" t="n">
        <v>223600</v>
      </c>
      <c r="H644" s="5" t="n">
        <v>64486.24</v>
      </c>
      <c r="I644" s="5" t="n">
        <v>42964.82</v>
      </c>
      <c r="J644" s="5" t="n">
        <v>138900.32</v>
      </c>
      <c r="K644" s="5" t="n">
        <v>138900.32</v>
      </c>
      <c r="L644" s="5" t="n">
        <v>0</v>
      </c>
      <c r="M644" s="5" t="n">
        <v>40059.7</v>
      </c>
      <c r="N644" s="5" t="n">
        <v>98840.62000000001</v>
      </c>
      <c r="O644" s="5" t="n">
        <v>98840.62000000001</v>
      </c>
      <c r="P644" s="4" t="n"/>
      <c r="Q644" s="6" t="n">
        <v>0.288</v>
      </c>
      <c r="R644" s="6" t="n">
        <v>0.2884</v>
      </c>
    </row>
    <row r="645">
      <c r="A645" s="4" t="inlineStr">
        <is>
          <t>26-PC-35650</t>
        </is>
      </c>
      <c r="B645" s="4" t="inlineStr">
        <is>
          <t>Aspen Ridge Harbor Dredging - Maritime Remote Sensing Survey</t>
        </is>
      </c>
      <c r="C645" s="4" t="inlineStr">
        <is>
          <t>In Progress</t>
        </is>
      </c>
      <c r="D645" s="4" t="inlineStr">
        <is>
          <t>Time and material</t>
        </is>
      </c>
      <c r="E645" s="4" t="inlineStr">
        <is>
          <t>High Desert</t>
        </is>
      </c>
      <c r="F645" s="4" t="inlineStr">
        <is>
          <t>Jody Wang</t>
        </is>
      </c>
      <c r="G645" s="5" t="n">
        <v>155300</v>
      </c>
      <c r="H645" s="5" t="n">
        <v>0</v>
      </c>
      <c r="I645" s="5" t="n">
        <v>0</v>
      </c>
      <c r="J645" s="5" t="n">
        <v>100626.66</v>
      </c>
      <c r="K645" s="5" t="n">
        <v>93441.14999999999</v>
      </c>
      <c r="L645" s="5" t="n">
        <v>7185.51</v>
      </c>
      <c r="M645" s="5" t="n">
        <v>0</v>
      </c>
      <c r="N645" s="5" t="n">
        <v>100626.66</v>
      </c>
      <c r="O645" s="5" t="n">
        <v>93441.14999999999</v>
      </c>
      <c r="P645" s="4" t="n"/>
      <c r="Q645" s="6" t="n">
        <v>0</v>
      </c>
      <c r="R645" s="6" t="n">
        <v>0</v>
      </c>
    </row>
    <row r="646">
      <c r="A646" s="4" t="inlineStr">
        <is>
          <t>26-PC-35730</t>
        </is>
      </c>
      <c r="B646" s="4" t="inlineStr">
        <is>
          <t>Larkspur Solar Class III Survey</t>
        </is>
      </c>
      <c r="C646" s="4" t="inlineStr">
        <is>
          <t>In Progress</t>
        </is>
      </c>
      <c r="D646" s="4" t="inlineStr">
        <is>
          <t>Fixed fee</t>
        </is>
      </c>
      <c r="E646" s="4" t="inlineStr">
        <is>
          <t>High Desert</t>
        </is>
      </c>
      <c r="F646" s="4" t="inlineStr">
        <is>
          <t>Eileen Poole</t>
        </is>
      </c>
      <c r="G646" s="5" t="n">
        <v>74800</v>
      </c>
      <c r="H646" s="5" t="n">
        <v>3179</v>
      </c>
      <c r="I646" s="5" t="n">
        <v>1495.98</v>
      </c>
      <c r="J646" s="5" t="n">
        <v>50078.6</v>
      </c>
      <c r="K646" s="5" t="n">
        <v>50078.6</v>
      </c>
      <c r="L646" s="5" t="n">
        <v>0</v>
      </c>
      <c r="M646" s="5" t="n">
        <v>2126.96</v>
      </c>
      <c r="N646" s="5" t="n">
        <v>47951.64</v>
      </c>
      <c r="O646" s="5" t="n">
        <v>47951.64</v>
      </c>
      <c r="P646" s="4" t="n"/>
      <c r="Q646" s="6" t="n">
        <v>0.043</v>
      </c>
      <c r="R646" s="6" t="n">
        <v>0.0425</v>
      </c>
    </row>
    <row r="647">
      <c r="A647" s="4" t="inlineStr">
        <is>
          <t>26-PC-35766</t>
        </is>
      </c>
      <c r="B647" s="4" t="inlineStr">
        <is>
          <t>Eagle Bend Solar - Architectural History Survey</t>
        </is>
      </c>
      <c r="C647" s="4" t="inlineStr">
        <is>
          <t>Cost Tracking on Closed Project</t>
        </is>
      </c>
      <c r="D647" s="4" t="inlineStr">
        <is>
          <t>Fixed fee</t>
        </is>
      </c>
      <c r="E647" s="4" t="inlineStr">
        <is>
          <t>High Desert</t>
        </is>
      </c>
      <c r="F647" s="4" t="inlineStr">
        <is>
          <t>Jody Wang</t>
        </is>
      </c>
      <c r="G647" s="5" t="n">
        <v>26300</v>
      </c>
      <c r="H647" s="5" t="n">
        <v>26300</v>
      </c>
      <c r="I647" s="5" t="n">
        <v>26300</v>
      </c>
      <c r="J647" s="5" t="n">
        <v>19575.09</v>
      </c>
      <c r="K647" s="5" t="n">
        <v>19575.09</v>
      </c>
      <c r="L647" s="5" t="n">
        <v>0</v>
      </c>
      <c r="M647" s="5" t="n">
        <v>22787.95</v>
      </c>
      <c r="N647" s="5" t="n">
        <v>-3212.860000000001</v>
      </c>
      <c r="O647" s="5" t="n">
        <v>-3212.860000000001</v>
      </c>
      <c r="P647" s="4" t="n"/>
      <c r="Q647" s="6" t="n">
        <v>1</v>
      </c>
      <c r="R647" s="6" t="n">
        <v>1.1641</v>
      </c>
    </row>
    <row r="648">
      <c r="A648" s="4" t="inlineStr">
        <is>
          <t>26-PC-35789</t>
        </is>
      </c>
      <c r="B648" s="4" t="inlineStr">
        <is>
          <t>Cedar Hollow Environmental Review Support</t>
        </is>
      </c>
      <c r="C648" s="4" t="inlineStr">
        <is>
          <t>In Progress</t>
        </is>
      </c>
      <c r="D648" s="4" t="inlineStr">
        <is>
          <t>Time and material</t>
        </is>
      </c>
      <c r="E648" s="4" t="inlineStr">
        <is>
          <t>High Desert</t>
        </is>
      </c>
      <c r="F648" s="4" t="inlineStr">
        <is>
          <t>Eileen Poole</t>
        </is>
      </c>
      <c r="G648" s="5" t="n">
        <v>3800</v>
      </c>
      <c r="H648" s="5" t="n">
        <v>159.5</v>
      </c>
      <c r="I648" s="5" t="n">
        <v>27.38</v>
      </c>
      <c r="J648" s="5" t="n">
        <v>2575.26</v>
      </c>
      <c r="K648" s="5" t="n">
        <v>2575.26</v>
      </c>
      <c r="L648" s="5" t="n">
        <v>0</v>
      </c>
      <c r="M648" s="5" t="n">
        <v>95.95</v>
      </c>
      <c r="N648" s="5" t="n">
        <v>2479.31</v>
      </c>
      <c r="O648" s="5" t="n">
        <v>2479.31</v>
      </c>
      <c r="P648" s="4" t="n"/>
      <c r="Q648" s="6" t="n">
        <v>0.042</v>
      </c>
      <c r="R648" s="6" t="n">
        <v>0.0373</v>
      </c>
    </row>
    <row r="649">
      <c r="A649" s="4" t="inlineStr">
        <is>
          <t>26-PC-35803</t>
        </is>
      </c>
      <c r="B649" s="4" t="inlineStr">
        <is>
          <t>Tamarack Airport Apron GIS Mapping</t>
        </is>
      </c>
      <c r="C649" s="4" t="inlineStr">
        <is>
          <t>In Progress</t>
        </is>
      </c>
      <c r="D649" s="4" t="inlineStr">
        <is>
          <t>Time and material</t>
        </is>
      </c>
      <c r="E649" s="4" t="inlineStr">
        <is>
          <t>High Desert</t>
        </is>
      </c>
      <c r="F649" s="4" t="inlineStr">
        <is>
          <t>Jody Wang</t>
        </is>
      </c>
      <c r="G649" s="5" t="n">
        <v>82900</v>
      </c>
      <c r="H649" s="5" t="n">
        <v>217.5</v>
      </c>
      <c r="I649" s="5" t="n">
        <v>87.2</v>
      </c>
      <c r="J649" s="5" t="n">
        <v>52144.1</v>
      </c>
      <c r="K649" s="5" t="n">
        <v>52144.1</v>
      </c>
      <c r="L649" s="5" t="n">
        <v>0</v>
      </c>
      <c r="M649" s="5" t="n">
        <v>123.8</v>
      </c>
      <c r="N649" s="5" t="n">
        <v>52020.3</v>
      </c>
      <c r="O649" s="5" t="n">
        <v>52020.3</v>
      </c>
      <c r="P649" s="4" t="n"/>
      <c r="Q649" s="6" t="n">
        <v>0.003</v>
      </c>
      <c r="R649" s="6" t="n">
        <v>0.0024</v>
      </c>
    </row>
    <row r="650">
      <c r="A650" s="4" t="inlineStr">
        <is>
          <t>26-PC-35811</t>
        </is>
      </c>
      <c r="B650" s="4" t="inlineStr">
        <is>
          <t>Phase III: Wildrye Solar Architectural History Survey</t>
        </is>
      </c>
      <c r="C650" s="4" t="inlineStr">
        <is>
          <t>In Progress</t>
        </is>
      </c>
      <c r="D650" s="4" t="inlineStr">
        <is>
          <t>Time and material</t>
        </is>
      </c>
      <c r="E650" s="4" t="inlineStr">
        <is>
          <t>High Desert</t>
        </is>
      </c>
      <c r="F650" s="4" t="inlineStr">
        <is>
          <t>Eileen Poole</t>
        </is>
      </c>
      <c r="G650" s="5" t="n">
        <v>19500</v>
      </c>
      <c r="H650" s="5" t="n">
        <v>0</v>
      </c>
      <c r="I650" s="5" t="n">
        <v>0</v>
      </c>
      <c r="J650" s="5" t="n">
        <v>12897.3</v>
      </c>
      <c r="K650" s="5" t="n">
        <v>12897.3</v>
      </c>
      <c r="L650" s="5" t="n">
        <v>0</v>
      </c>
      <c r="M650" s="5" t="n">
        <v>0</v>
      </c>
      <c r="N650" s="5" t="n">
        <v>12897.3</v>
      </c>
      <c r="O650" s="5" t="n">
        <v>12897.3</v>
      </c>
      <c r="P650" s="4" t="n"/>
      <c r="Q650" s="6" t="n">
        <v>0</v>
      </c>
      <c r="R650" s="6" t="n">
        <v>0</v>
      </c>
    </row>
    <row r="651">
      <c r="A651" s="4" t="inlineStr">
        <is>
          <t>26-PC-35828</t>
        </is>
      </c>
      <c r="B651" s="4" t="inlineStr">
        <is>
          <t>Aspen Ridge Park Improvements - Class III Survey</t>
        </is>
      </c>
      <c r="C651" s="4" t="inlineStr">
        <is>
          <t>In Progress</t>
        </is>
      </c>
      <c r="D651" s="4" t="inlineStr">
        <is>
          <t>Time and material</t>
        </is>
      </c>
      <c r="E651" s="4" t="inlineStr">
        <is>
          <t>High Desert</t>
        </is>
      </c>
      <c r="F651" s="4" t="inlineStr">
        <is>
          <t>Jody Wang</t>
        </is>
      </c>
      <c r="G651" s="5" t="n">
        <v>48300</v>
      </c>
      <c r="H651" s="5" t="n">
        <v>27612.25</v>
      </c>
      <c r="I651" s="5" t="n">
        <v>23270.14</v>
      </c>
      <c r="J651" s="5" t="n">
        <v>31733.1</v>
      </c>
      <c r="K651" s="5" t="n">
        <v>31733.1</v>
      </c>
      <c r="L651" s="5" t="n">
        <v>0</v>
      </c>
      <c r="M651" s="5" t="n">
        <v>19018.68</v>
      </c>
      <c r="N651" s="5" t="n">
        <v>12714.42</v>
      </c>
      <c r="O651" s="5" t="n">
        <v>12714.42</v>
      </c>
      <c r="P651" s="4" t="n"/>
      <c r="Q651" s="6" t="n">
        <v>0.572</v>
      </c>
      <c r="R651" s="6" t="n">
        <v>0.5993000000000001</v>
      </c>
    </row>
    <row r="652">
      <c r="A652" s="4" t="inlineStr">
        <is>
          <t>26-PC-35920</t>
        </is>
      </c>
      <c r="B652" s="4" t="inlineStr">
        <is>
          <t>Phase I: Creosote Draw Park Improvements Historic Resources Evaluation</t>
        </is>
      </c>
      <c r="C652" s="4" t="inlineStr">
        <is>
          <t>In Progress</t>
        </is>
      </c>
      <c r="D652" s="4" t="inlineStr">
        <is>
          <t>Time and material</t>
        </is>
      </c>
      <c r="E652" s="4" t="inlineStr">
        <is>
          <t>High Desert</t>
        </is>
      </c>
      <c r="F652" s="4" t="inlineStr">
        <is>
          <t>Eileen Poole</t>
        </is>
      </c>
      <c r="G652" s="5" t="n">
        <v>61600</v>
      </c>
      <c r="H652" s="5" t="n">
        <v>0</v>
      </c>
      <c r="I652" s="5" t="n">
        <v>0</v>
      </c>
      <c r="J652" s="5" t="n">
        <v>42591.82</v>
      </c>
      <c r="K652" s="5" t="n">
        <v>34150</v>
      </c>
      <c r="L652" s="5" t="n">
        <v>8441.82</v>
      </c>
      <c r="M652" s="5" t="n">
        <v>0</v>
      </c>
      <c r="N652" s="5" t="n">
        <v>42591.82</v>
      </c>
      <c r="O652" s="5" t="n">
        <v>34150</v>
      </c>
      <c r="P652" s="4" t="n"/>
      <c r="Q652" s="6" t="n">
        <v>0</v>
      </c>
      <c r="R652" s="6" t="n">
        <v>0</v>
      </c>
    </row>
    <row r="653">
      <c r="A653" s="4" t="inlineStr">
        <is>
          <t>26-PC-35937</t>
        </is>
      </c>
      <c r="B653" s="4" t="inlineStr">
        <is>
          <t>Pebble Beach Road Built Environment Survey</t>
        </is>
      </c>
      <c r="C653" s="4" t="inlineStr">
        <is>
          <t>Transferred Entity</t>
        </is>
      </c>
      <c r="D653" s="4" t="inlineStr">
        <is>
          <t>Fixed fee</t>
        </is>
      </c>
      <c r="E653" s="4" t="inlineStr">
        <is>
          <t>High Desert</t>
        </is>
      </c>
      <c r="F653" s="4" t="inlineStr">
        <is>
          <t>Kathy Hurley</t>
        </is>
      </c>
      <c r="G653" s="5" t="n">
        <v>73700</v>
      </c>
      <c r="H653" s="5" t="n">
        <v>7274.19</v>
      </c>
      <c r="I653" s="5" t="n">
        <v>1654.38</v>
      </c>
      <c r="J653" s="5" t="n">
        <v>51155.17</v>
      </c>
      <c r="K653" s="5" t="n">
        <v>51155.17</v>
      </c>
      <c r="L653" s="5" t="n">
        <v>0</v>
      </c>
      <c r="M653" s="5" t="n">
        <v>5050.91</v>
      </c>
      <c r="N653" s="5" t="n">
        <v>46104.25999999999</v>
      </c>
      <c r="O653" s="5" t="n">
        <v>46104.25999999999</v>
      </c>
      <c r="P653" s="4" t="n"/>
      <c r="Q653" s="6" t="n">
        <v>0.099</v>
      </c>
      <c r="R653" s="6" t="n">
        <v>0.0987</v>
      </c>
    </row>
    <row r="654">
      <c r="A654" s="4" t="inlineStr">
        <is>
          <t>26-PC-35984</t>
        </is>
      </c>
      <c r="B654" s="4" t="inlineStr">
        <is>
          <t>Timber Gap Bridge Replacement Archaeological Testing</t>
        </is>
      </c>
      <c r="C654" s="4" t="inlineStr">
        <is>
          <t>Final Reporting/Review</t>
        </is>
      </c>
      <c r="D654" s="4" t="inlineStr">
        <is>
          <t>Time and material</t>
        </is>
      </c>
      <c r="E654" s="4" t="inlineStr">
        <is>
          <t>High Desert</t>
        </is>
      </c>
      <c r="F654" s="4" t="inlineStr">
        <is>
          <t>Bridget Maddox</t>
        </is>
      </c>
      <c r="G654" s="5" t="n">
        <v>75200</v>
      </c>
      <c r="H654" s="5" t="n">
        <v>13619.25</v>
      </c>
      <c r="I654" s="5" t="n">
        <v>7059.33</v>
      </c>
      <c r="J654" s="5" t="n">
        <v>47215.34</v>
      </c>
      <c r="K654" s="5" t="n">
        <v>40029.6</v>
      </c>
      <c r="L654" s="5" t="n">
        <v>7185.74</v>
      </c>
      <c r="M654" s="5" t="n">
        <v>10159.66</v>
      </c>
      <c r="N654" s="5" t="n">
        <v>37055.67999999999</v>
      </c>
      <c r="O654" s="5" t="n">
        <v>29869.94</v>
      </c>
      <c r="P654" s="4" t="n"/>
      <c r="Q654" s="6" t="n">
        <v>0.181</v>
      </c>
      <c r="R654" s="6" t="n">
        <v>0.2152</v>
      </c>
    </row>
    <row r="655">
      <c r="A655" s="4" t="inlineStr">
        <is>
          <t>26-PC-36110</t>
        </is>
      </c>
      <c r="B655" s="4" t="inlineStr">
        <is>
          <t>Blue Heron Canal Lining - Section 106 Consultation</t>
        </is>
      </c>
      <c r="C655" s="4" t="inlineStr">
        <is>
          <t>In Progress</t>
        </is>
      </c>
      <c r="D655" s="4" t="inlineStr">
        <is>
          <t>Fixed fee</t>
        </is>
      </c>
      <c r="E655" s="4" t="inlineStr">
        <is>
          <t>High Desert</t>
        </is>
      </c>
      <c r="F655" s="4" t="inlineStr">
        <is>
          <t>Bridget Maddox</t>
        </is>
      </c>
      <c r="G655" s="5" t="n">
        <v>776100</v>
      </c>
      <c r="H655" s="5" t="n">
        <v>55413.54</v>
      </c>
      <c r="I655" s="5" t="n">
        <v>49922.17</v>
      </c>
      <c r="J655" s="5" t="n">
        <v>567018.66</v>
      </c>
      <c r="K655" s="5" t="n">
        <v>567018.66</v>
      </c>
      <c r="L655" s="5" t="n">
        <v>0</v>
      </c>
      <c r="M655" s="5" t="n">
        <v>40481.07</v>
      </c>
      <c r="N655" s="5" t="n">
        <v>526537.5900000001</v>
      </c>
      <c r="O655" s="5" t="n">
        <v>526537.5900000001</v>
      </c>
      <c r="P655" s="4" t="n"/>
      <c r="Q655" s="6" t="n">
        <v>0.07099999999999999</v>
      </c>
      <c r="R655" s="6" t="n">
        <v>0.07140000000000001</v>
      </c>
    </row>
    <row r="656">
      <c r="A656" s="4" t="inlineStr">
        <is>
          <t>26-PC-36247</t>
        </is>
      </c>
      <c r="B656" s="4" t="inlineStr">
        <is>
          <t>Harbor View Maritime Remote Sensing Survey</t>
        </is>
      </c>
      <c r="C656" s="4" t="inlineStr">
        <is>
          <t>In Progress</t>
        </is>
      </c>
      <c r="D656" s="4" t="inlineStr">
        <is>
          <t>Fixed fee</t>
        </is>
      </c>
      <c r="E656" s="4" t="inlineStr">
        <is>
          <t>Island</t>
        </is>
      </c>
      <c r="F656" s="4" t="inlineStr">
        <is>
          <t>Maurice Dodson</t>
        </is>
      </c>
      <c r="G656" s="5" t="n">
        <v>44300</v>
      </c>
      <c r="H656" s="5" t="n">
        <v>522.74</v>
      </c>
      <c r="I656" s="5" t="n">
        <v>202</v>
      </c>
      <c r="J656" s="5" t="n">
        <v>33455.36</v>
      </c>
      <c r="K656" s="5" t="n">
        <v>33455.36</v>
      </c>
      <c r="L656" s="5" t="n">
        <v>0</v>
      </c>
      <c r="M656" s="5" t="n">
        <v>394.65</v>
      </c>
      <c r="N656" s="5" t="n">
        <v>33060.71</v>
      </c>
      <c r="O656" s="5" t="n">
        <v>33060.71</v>
      </c>
      <c r="P656" s="4" t="n"/>
      <c r="Q656" s="6" t="n">
        <v>0.012</v>
      </c>
      <c r="R656" s="6" t="n">
        <v>0.0118</v>
      </c>
    </row>
    <row r="657">
      <c r="A657" s="4" t="inlineStr">
        <is>
          <t>26-PC-36281</t>
        </is>
      </c>
      <c r="B657" s="4" t="inlineStr">
        <is>
          <t>Saltgrass Mixed-Use Development Architectural History Survey</t>
        </is>
      </c>
      <c r="C657" s="4" t="inlineStr">
        <is>
          <t>In Progress</t>
        </is>
      </c>
      <c r="D657" s="4" t="inlineStr">
        <is>
          <t>Time and material</t>
        </is>
      </c>
      <c r="E657" s="4" t="inlineStr">
        <is>
          <t>Island</t>
        </is>
      </c>
      <c r="F657" s="4" t="inlineStr">
        <is>
          <t>Becky Velazquez</t>
        </is>
      </c>
      <c r="G657" s="5" t="n">
        <v>25900</v>
      </c>
      <c r="H657" s="5" t="n">
        <v>202.5</v>
      </c>
      <c r="I657" s="5" t="n">
        <v>109.61</v>
      </c>
      <c r="J657" s="5" t="n">
        <v>16954.14</v>
      </c>
      <c r="K657" s="5" t="n">
        <v>16954.14</v>
      </c>
      <c r="L657" s="5" t="n">
        <v>0</v>
      </c>
      <c r="M657" s="5" t="n">
        <v>138.86</v>
      </c>
      <c r="N657" s="5" t="n">
        <v>16815.28</v>
      </c>
      <c r="O657" s="5" t="n">
        <v>16815.28</v>
      </c>
      <c r="P657" s="4" t="n"/>
      <c r="Q657" s="6" t="n">
        <v>0.008</v>
      </c>
      <c r="R657" s="6" t="n">
        <v>0.008200000000000001</v>
      </c>
    </row>
    <row r="658">
      <c r="A658" s="4" t="inlineStr">
        <is>
          <t>26-PC-36394</t>
        </is>
      </c>
      <c r="B658" s="4" t="inlineStr">
        <is>
          <t>Meadowlark Cultural Resources Monitoring</t>
        </is>
      </c>
      <c r="C658" s="4" t="inlineStr">
        <is>
          <t>In Progress</t>
        </is>
      </c>
      <c r="D658" s="4" t="inlineStr">
        <is>
          <t>Fixed fee</t>
        </is>
      </c>
      <c r="E658" s="4" t="inlineStr">
        <is>
          <t>Island</t>
        </is>
      </c>
      <c r="F658" s="4" t="inlineStr">
        <is>
          <t>Briana Melton</t>
        </is>
      </c>
      <c r="G658" s="5" t="n">
        <v>61900</v>
      </c>
      <c r="H658" s="5" t="n">
        <v>3237.37</v>
      </c>
      <c r="I658" s="5" t="n">
        <v>1344.78</v>
      </c>
      <c r="J658" s="5" t="n">
        <v>39879.42</v>
      </c>
      <c r="K658" s="5" t="n">
        <v>32483.92</v>
      </c>
      <c r="L658" s="5" t="n">
        <v>7395.5</v>
      </c>
      <c r="M658" s="5" t="n">
        <v>2084.51</v>
      </c>
      <c r="N658" s="5" t="n">
        <v>37794.91</v>
      </c>
      <c r="O658" s="5" t="n">
        <v>30399.41</v>
      </c>
      <c r="P658" s="4" t="n"/>
      <c r="Q658" s="6" t="n">
        <v>0.052</v>
      </c>
      <c r="R658" s="6" t="n">
        <v>0.0523</v>
      </c>
    </row>
    <row r="659">
      <c r="A659" s="4" t="inlineStr">
        <is>
          <t>26-PC-36396</t>
        </is>
      </c>
      <c r="B659" s="4" t="inlineStr">
        <is>
          <t>Task Order 9: Twin Buttes Solar Architectural History Survey</t>
        </is>
      </c>
      <c r="C659" s="4" t="inlineStr">
        <is>
          <t>In Progress</t>
        </is>
      </c>
      <c r="D659" s="4" t="inlineStr">
        <is>
          <t>Fixed fee</t>
        </is>
      </c>
      <c r="E659" s="4" t="inlineStr">
        <is>
          <t>Island</t>
        </is>
      </c>
      <c r="F659" s="4" t="inlineStr">
        <is>
          <t>Briana Melton</t>
        </is>
      </c>
      <c r="G659" s="5" t="n">
        <v>77700</v>
      </c>
      <c r="H659" s="5" t="n">
        <v>9759.120000000001</v>
      </c>
      <c r="I659" s="5" t="n">
        <v>7129.67</v>
      </c>
      <c r="J659" s="5" t="n">
        <v>47283.31</v>
      </c>
      <c r="K659" s="5" t="n">
        <v>43484.4</v>
      </c>
      <c r="L659" s="5" t="n">
        <v>3798.91</v>
      </c>
      <c r="M659" s="5" t="n">
        <v>5937.18</v>
      </c>
      <c r="N659" s="5" t="n">
        <v>41346.13</v>
      </c>
      <c r="O659" s="5" t="n">
        <v>37547.22</v>
      </c>
      <c r="P659" s="4" t="n"/>
      <c r="Q659" s="6" t="n">
        <v>0.126</v>
      </c>
      <c r="R659" s="6" t="n">
        <v>0.1256</v>
      </c>
    </row>
    <row r="660">
      <c r="A660" s="4" t="inlineStr">
        <is>
          <t>26-PC-36416</t>
        </is>
      </c>
      <c r="B660" s="4" t="inlineStr">
        <is>
          <t>Task Order 2: Thistle Down Wind Farm Archaeological Testing</t>
        </is>
      </c>
      <c r="C660" s="4" t="inlineStr">
        <is>
          <t>Lab/Curation</t>
        </is>
      </c>
      <c r="D660" s="4" t="inlineStr">
        <is>
          <t>Fixed fee</t>
        </is>
      </c>
      <c r="E660" s="4" t="inlineStr">
        <is>
          <t>Island</t>
        </is>
      </c>
      <c r="F660" s="4" t="inlineStr">
        <is>
          <t>Maurice Dodson</t>
        </is>
      </c>
      <c r="G660" s="5" t="n">
        <v>589600</v>
      </c>
      <c r="H660" s="5" t="n">
        <v>270626.4</v>
      </c>
      <c r="I660" s="5" t="n">
        <v>239675.91</v>
      </c>
      <c r="J660" s="5" t="n">
        <v>462173.13</v>
      </c>
      <c r="K660" s="5" t="n">
        <v>351925</v>
      </c>
      <c r="L660" s="5" t="n">
        <v>110248.13</v>
      </c>
      <c r="M660" s="5" t="n">
        <v>212155.53</v>
      </c>
      <c r="N660" s="5" t="n">
        <v>250017.6</v>
      </c>
      <c r="O660" s="5" t="n">
        <v>139769.47</v>
      </c>
      <c r="P660" s="4" t="n"/>
      <c r="Q660" s="6" t="n">
        <v>0.459</v>
      </c>
      <c r="R660" s="6" t="n">
        <v>0.459</v>
      </c>
    </row>
    <row r="661">
      <c r="A661" s="4" t="inlineStr">
        <is>
          <t>26-PC-36537</t>
        </is>
      </c>
      <c r="B661" s="4" t="inlineStr">
        <is>
          <t>Yarrow Point Park Improvements Built Environment Survey</t>
        </is>
      </c>
      <c r="C661" s="4" t="inlineStr">
        <is>
          <t>In Progress</t>
        </is>
      </c>
      <c r="D661" s="4" t="inlineStr">
        <is>
          <t>Fixed fee</t>
        </is>
      </c>
      <c r="E661" s="4" t="inlineStr">
        <is>
          <t>Island</t>
        </is>
      </c>
      <c r="F661" s="4" t="inlineStr">
        <is>
          <t>Becky Velazquez</t>
        </is>
      </c>
      <c r="G661" s="5" t="n">
        <v>125300</v>
      </c>
      <c r="H661" s="5" t="n">
        <v>39544.68</v>
      </c>
      <c r="I661" s="5" t="n">
        <v>36421.55</v>
      </c>
      <c r="J661" s="5" t="n">
        <v>86482.06</v>
      </c>
      <c r="K661" s="5" t="n">
        <v>86482.06</v>
      </c>
      <c r="L661" s="5" t="n">
        <v>0</v>
      </c>
      <c r="M661" s="5" t="n">
        <v>27291.85</v>
      </c>
      <c r="N661" s="5" t="n">
        <v>59190.21</v>
      </c>
      <c r="O661" s="5" t="n">
        <v>59190.21</v>
      </c>
      <c r="P661" s="4" t="n"/>
      <c r="Q661" s="6" t="n">
        <v>0.316</v>
      </c>
      <c r="R661" s="6" t="n">
        <v>0.3156</v>
      </c>
    </row>
    <row r="662">
      <c r="A662" s="4" t="inlineStr">
        <is>
          <t>26-PC-36581</t>
        </is>
      </c>
      <c r="B662" s="4" t="inlineStr">
        <is>
          <t>Harbor View Maritime Remote Sensing Survey</t>
        </is>
      </c>
      <c r="C662" s="4" t="inlineStr">
        <is>
          <t>In Progress</t>
        </is>
      </c>
      <c r="D662" s="4" t="inlineStr">
        <is>
          <t>Fixed fee</t>
        </is>
      </c>
      <c r="E662" s="4" t="inlineStr">
        <is>
          <t>Island</t>
        </is>
      </c>
      <c r="F662" s="4" t="inlineStr">
        <is>
          <t>Briana Melton</t>
        </is>
      </c>
      <c r="G662" s="5" t="n">
        <v>127600</v>
      </c>
      <c r="H662" s="5" t="n">
        <v>48755.96</v>
      </c>
      <c r="I662" s="5" t="n">
        <v>43545.62</v>
      </c>
      <c r="J662" s="5" t="n">
        <v>76674.84</v>
      </c>
      <c r="K662" s="5" t="n">
        <v>76674.84</v>
      </c>
      <c r="L662" s="5" t="n">
        <v>0</v>
      </c>
      <c r="M662" s="5" t="n">
        <v>29299.63</v>
      </c>
      <c r="N662" s="5" t="n">
        <v>47375.20999999999</v>
      </c>
      <c r="O662" s="5" t="n">
        <v>47375.20999999999</v>
      </c>
      <c r="P662" s="4" t="n"/>
      <c r="Q662" s="6" t="n">
        <v>0.382</v>
      </c>
      <c r="R662" s="6" t="n">
        <v>0.3821</v>
      </c>
    </row>
    <row r="663">
      <c r="A663" s="4" t="inlineStr">
        <is>
          <t>26-PC-36602</t>
        </is>
      </c>
      <c r="B663" s="4" t="inlineStr">
        <is>
          <t>Sea Oat Airport Apron Cultural Resources Monitoring</t>
        </is>
      </c>
      <c r="C663" s="4" t="inlineStr">
        <is>
          <t>In Progress</t>
        </is>
      </c>
      <c r="D663" s="4" t="inlineStr">
        <is>
          <t>Fixed fee</t>
        </is>
      </c>
      <c r="E663" s="4" t="inlineStr">
        <is>
          <t>Lakeshore</t>
        </is>
      </c>
      <c r="F663" s="4" t="inlineStr">
        <is>
          <t>Terrence Gillespie</t>
        </is>
      </c>
      <c r="G663" s="5" t="n">
        <v>396600</v>
      </c>
      <c r="H663" s="5" t="n">
        <v>57269.04</v>
      </c>
      <c r="I663" s="5" t="n">
        <v>42958.07</v>
      </c>
      <c r="J663" s="5" t="n">
        <v>288646.28</v>
      </c>
      <c r="K663" s="5" t="n">
        <v>223565.16</v>
      </c>
      <c r="L663" s="5" t="n">
        <v>65081.12</v>
      </c>
      <c r="M663" s="5" t="n">
        <v>41680.56</v>
      </c>
      <c r="N663" s="5" t="n">
        <v>246965.72</v>
      </c>
      <c r="O663" s="5" t="n">
        <v>181884.6</v>
      </c>
      <c r="P663" s="4" t="n"/>
      <c r="Q663" s="6" t="n">
        <v>0.144</v>
      </c>
      <c r="R663" s="6" t="n">
        <v>0.1444</v>
      </c>
    </row>
    <row r="664">
      <c r="A664" s="4" t="inlineStr">
        <is>
          <t>26-PC-36726</t>
        </is>
      </c>
      <c r="B664" s="4" t="inlineStr">
        <is>
          <t>Willow Springs Cultural Resources Assessment</t>
        </is>
      </c>
      <c r="C664" s="4" t="inlineStr">
        <is>
          <t>In Progress</t>
        </is>
      </c>
      <c r="D664" s="4" t="inlineStr">
        <is>
          <t>Fixed fee</t>
        </is>
      </c>
      <c r="E664" s="4" t="inlineStr">
        <is>
          <t>Lakeshore</t>
        </is>
      </c>
      <c r="F664" s="4" t="inlineStr">
        <is>
          <t>Lucas Benson</t>
        </is>
      </c>
      <c r="G664" s="5" t="n">
        <v>153200</v>
      </c>
      <c r="H664" s="5" t="n">
        <v>16668.16</v>
      </c>
      <c r="I664" s="5" t="n">
        <v>0</v>
      </c>
      <c r="J664" s="5" t="n">
        <v>110288.68</v>
      </c>
      <c r="K664" s="5" t="n">
        <v>110288.68</v>
      </c>
      <c r="L664" s="5" t="n">
        <v>0</v>
      </c>
      <c r="M664" s="5" t="n">
        <v>12003.91</v>
      </c>
      <c r="N664" s="5" t="n">
        <v>98284.76999999999</v>
      </c>
      <c r="O664" s="5" t="n">
        <v>98284.76999999999</v>
      </c>
      <c r="P664" s="4" t="n"/>
      <c r="Q664" s="6" t="n">
        <v>0.109</v>
      </c>
      <c r="R664" s="6" t="n">
        <v>0.1088</v>
      </c>
    </row>
    <row r="665">
      <c r="A665" s="4" t="inlineStr">
        <is>
          <t>26-PC-36749</t>
        </is>
      </c>
      <c r="B665" s="4" t="inlineStr">
        <is>
          <t>Windmill Flat Water Main - Cultural Resources Assessment</t>
        </is>
      </c>
      <c r="C665" s="4" t="inlineStr">
        <is>
          <t>In Progress</t>
        </is>
      </c>
      <c r="D665" s="4" t="inlineStr">
        <is>
          <t>Fixed fee</t>
        </is>
      </c>
      <c r="E665" s="4" t="inlineStr">
        <is>
          <t>Lakeshore</t>
        </is>
      </c>
      <c r="F665" s="4" t="inlineStr">
        <is>
          <t>Lucas Benson</t>
        </is>
      </c>
      <c r="G665" s="5" t="n">
        <v>199000</v>
      </c>
      <c r="H665" s="5" t="n">
        <v>95321</v>
      </c>
      <c r="I665" s="5" t="n">
        <v>85531.32000000001</v>
      </c>
      <c r="J665" s="5" t="n">
        <v>173567.8</v>
      </c>
      <c r="K665" s="5" t="n">
        <v>173567.8</v>
      </c>
      <c r="L665" s="5" t="n">
        <v>0</v>
      </c>
      <c r="M665" s="5" t="n">
        <v>83133.92999999999</v>
      </c>
      <c r="N665" s="5" t="n">
        <v>90433.87</v>
      </c>
      <c r="O665" s="5" t="n">
        <v>90433.87</v>
      </c>
      <c r="P665" s="4" t="n"/>
      <c r="Q665" s="6" t="n">
        <v>0.479</v>
      </c>
      <c r="R665" s="6" t="n">
        <v>0.479</v>
      </c>
    </row>
    <row r="666">
      <c r="A666" s="4" t="inlineStr">
        <is>
          <t>26-PC-36750</t>
        </is>
      </c>
      <c r="B666" s="4" t="inlineStr">
        <is>
          <t>Task Order 15: North Fork Canal Lining Data Recovery</t>
        </is>
      </c>
      <c r="C666" s="4" t="inlineStr">
        <is>
          <t>In Progress</t>
        </is>
      </c>
      <c r="D666" s="4" t="inlineStr">
        <is>
          <t>Time and material</t>
        </is>
      </c>
      <c r="E666" s="4" t="inlineStr">
        <is>
          <t>Lakeshore</t>
        </is>
      </c>
      <c r="F666" s="4" t="inlineStr">
        <is>
          <t>Terrence Gillespie</t>
        </is>
      </c>
      <c r="G666" s="5" t="n">
        <v>121800</v>
      </c>
      <c r="H666" s="5" t="n">
        <v>24027.5</v>
      </c>
      <c r="I666" s="5" t="n">
        <v>11545.83</v>
      </c>
      <c r="J666" s="5" t="n">
        <v>80948.28</v>
      </c>
      <c r="K666" s="5" t="n">
        <v>80948.28</v>
      </c>
      <c r="L666" s="5" t="n">
        <v>0</v>
      </c>
      <c r="M666" s="5" t="n">
        <v>13368.46</v>
      </c>
      <c r="N666" s="5" t="n">
        <v>67579.82000000001</v>
      </c>
      <c r="O666" s="5" t="n">
        <v>67579.82000000001</v>
      </c>
      <c r="P666" s="4" t="n"/>
      <c r="Q666" s="6" t="n">
        <v>0.197</v>
      </c>
      <c r="R666" s="6" t="n">
        <v>0.1651</v>
      </c>
    </row>
    <row r="667">
      <c r="A667" s="4" t="inlineStr">
        <is>
          <t>26-PC-36775</t>
        </is>
      </c>
      <c r="B667" s="4" t="inlineStr">
        <is>
          <t>Falcon Mesa Cultural Resources Monitoring</t>
        </is>
      </c>
      <c r="C667" s="4" t="inlineStr">
        <is>
          <t>Transferred Entity</t>
        </is>
      </c>
      <c r="D667" s="4" t="inlineStr">
        <is>
          <t>Fixed fee</t>
        </is>
      </c>
      <c r="E667" s="4" t="inlineStr">
        <is>
          <t>Hill Country</t>
        </is>
      </c>
      <c r="F667" s="4" t="inlineStr">
        <is>
          <t>Gail Meza</t>
        </is>
      </c>
      <c r="G667" s="5" t="n">
        <v>90800</v>
      </c>
      <c r="H667" s="5" t="n">
        <v>190.68</v>
      </c>
      <c r="I667" s="5" t="n">
        <v>37.35</v>
      </c>
      <c r="J667" s="5" t="n">
        <v>77565.53999999999</v>
      </c>
      <c r="K667" s="5" t="n">
        <v>58243.86</v>
      </c>
      <c r="L667" s="5" t="n">
        <v>19321.68</v>
      </c>
      <c r="M667" s="5" t="n">
        <v>160.5</v>
      </c>
      <c r="N667" s="5" t="n">
        <v>77405.03999999999</v>
      </c>
      <c r="O667" s="5" t="n">
        <v>58083.36</v>
      </c>
      <c r="P667" s="4" t="n"/>
      <c r="Q667" s="6" t="n">
        <v>0.002</v>
      </c>
      <c r="R667" s="6" t="n">
        <v>0.0021</v>
      </c>
    </row>
    <row r="668">
      <c r="A668" s="4" t="inlineStr">
        <is>
          <t>26-PC-36802</t>
        </is>
      </c>
      <c r="B668" s="4" t="inlineStr">
        <is>
          <t>Thistle Down Canal Lining - Cultural Resources Assessment</t>
        </is>
      </c>
      <c r="C668" s="4" t="inlineStr">
        <is>
          <t>Final Reporting/Review</t>
        </is>
      </c>
      <c r="D668" s="4" t="inlineStr">
        <is>
          <t>Time and material</t>
        </is>
      </c>
      <c r="E668" s="4" t="inlineStr">
        <is>
          <t>Hill Country</t>
        </is>
      </c>
      <c r="F668" s="4" t="inlineStr">
        <is>
          <t>Gail Meza</t>
        </is>
      </c>
      <c r="G668" s="5" t="n">
        <v>71600</v>
      </c>
      <c r="H668" s="5" t="n">
        <v>0</v>
      </c>
      <c r="I668" s="5" t="n">
        <v>0</v>
      </c>
      <c r="J668" s="5" t="n">
        <v>52303.8</v>
      </c>
      <c r="K668" s="5" t="n">
        <v>52303.8</v>
      </c>
      <c r="L668" s="5" t="n">
        <v>0</v>
      </c>
      <c r="M668" s="5" t="n">
        <v>0</v>
      </c>
      <c r="N668" s="5" t="n">
        <v>52303.8</v>
      </c>
      <c r="O668" s="5" t="n">
        <v>52303.8</v>
      </c>
      <c r="P668" s="4" t="n"/>
      <c r="Q668" s="6" t="n">
        <v>0</v>
      </c>
      <c r="R668" s="6" t="n">
        <v>0</v>
      </c>
    </row>
    <row r="669">
      <c r="A669" s="4" t="inlineStr">
        <is>
          <t>26-PC-36828</t>
        </is>
      </c>
      <c r="B669" s="4" t="inlineStr">
        <is>
          <t>Phase III: Rushgrass Draw Canal Lining GIS Mapping</t>
        </is>
      </c>
      <c r="C669" s="4" t="inlineStr">
        <is>
          <t>In Progress</t>
        </is>
      </c>
      <c r="D669" s="4" t="inlineStr">
        <is>
          <t>Time and material</t>
        </is>
      </c>
      <c r="E669" s="4" t="inlineStr">
        <is>
          <t>Hill Country</t>
        </is>
      </c>
      <c r="F669" s="4" t="inlineStr">
        <is>
          <t>Gail Meza</t>
        </is>
      </c>
      <c r="G669" s="5" t="n">
        <v>28100</v>
      </c>
      <c r="H669" s="5" t="n">
        <v>1368.5</v>
      </c>
      <c r="I669" s="5" t="n">
        <v>1198.92</v>
      </c>
      <c r="J669" s="5" t="n">
        <v>19006.84</v>
      </c>
      <c r="K669" s="5" t="n">
        <v>19006.84</v>
      </c>
      <c r="L669" s="5" t="n">
        <v>0</v>
      </c>
      <c r="M669" s="5" t="n">
        <v>844.4299999999999</v>
      </c>
      <c r="N669" s="5" t="n">
        <v>18162.41</v>
      </c>
      <c r="O669" s="5" t="n">
        <v>18162.41</v>
      </c>
      <c r="P669" s="4" t="n"/>
      <c r="Q669" s="6" t="n">
        <v>0.049</v>
      </c>
      <c r="R669" s="6" t="n">
        <v>0.0444</v>
      </c>
    </row>
    <row r="670">
      <c r="A670" s="4" t="inlineStr">
        <is>
          <t>26-PC-36861</t>
        </is>
      </c>
      <c r="B670" s="4" t="inlineStr">
        <is>
          <t>North Fork Park Improvements - Cultural Resources Assessment</t>
        </is>
      </c>
      <c r="C670" s="4" t="inlineStr">
        <is>
          <t>In Progress</t>
        </is>
      </c>
      <c r="D670" s="4" t="inlineStr">
        <is>
          <t>Fixed fee</t>
        </is>
      </c>
      <c r="E670" s="4" t="inlineStr">
        <is>
          <t>Hill Country</t>
        </is>
      </c>
      <c r="F670" s="4" t="inlineStr">
        <is>
          <t>Samuel Wilkerson</t>
        </is>
      </c>
      <c r="G670" s="5" t="n">
        <v>463900</v>
      </c>
      <c r="H670" s="5" t="n">
        <v>11411.94</v>
      </c>
      <c r="I670" s="5" t="n">
        <v>8632.459999999999</v>
      </c>
      <c r="J670" s="5" t="n">
        <v>337255.3</v>
      </c>
      <c r="K670" s="5" t="n">
        <v>337255.3</v>
      </c>
      <c r="L670" s="5" t="n">
        <v>0</v>
      </c>
      <c r="M670" s="5" t="n">
        <v>8285.6</v>
      </c>
      <c r="N670" s="5" t="n">
        <v>328969.7</v>
      </c>
      <c r="O670" s="5" t="n">
        <v>328969.7</v>
      </c>
      <c r="P670" s="4" t="n"/>
      <c r="Q670" s="6" t="n">
        <v>0.025</v>
      </c>
      <c r="R670" s="6" t="n">
        <v>0.0246</v>
      </c>
    </row>
    <row r="671">
      <c r="A671" s="4" t="inlineStr">
        <is>
          <t>26-PC-36944</t>
        </is>
      </c>
      <c r="B671" s="4" t="inlineStr">
        <is>
          <t>Copper Flats Levee Repair - Data Recovery</t>
        </is>
      </c>
      <c r="C671" s="4" t="inlineStr">
        <is>
          <t>Final Reporting/Review</t>
        </is>
      </c>
      <c r="D671" s="4" t="inlineStr">
        <is>
          <t>Fixed fee</t>
        </is>
      </c>
      <c r="E671" s="4" t="inlineStr">
        <is>
          <t>Hill Country</t>
        </is>
      </c>
      <c r="F671" s="4" t="inlineStr">
        <is>
          <t>Marcus Shea</t>
        </is>
      </c>
      <c r="G671" s="5" t="n">
        <v>102000</v>
      </c>
      <c r="H671" s="5" t="n">
        <v>18278.4</v>
      </c>
      <c r="I671" s="5" t="n">
        <v>15058.85</v>
      </c>
      <c r="J671" s="5" t="n">
        <v>68921.39999999999</v>
      </c>
      <c r="K671" s="5" t="n">
        <v>68921.39999999999</v>
      </c>
      <c r="L671" s="5" t="n">
        <v>0</v>
      </c>
      <c r="M671" s="5" t="n">
        <v>12352.09</v>
      </c>
      <c r="N671" s="5" t="n">
        <v>56569.31</v>
      </c>
      <c r="O671" s="5" t="n">
        <v>56569.31</v>
      </c>
      <c r="P671" s="4" t="n"/>
      <c r="Q671" s="6" t="n">
        <v>0.179</v>
      </c>
      <c r="R671" s="6" t="n">
        <v>0.1792</v>
      </c>
    </row>
    <row r="672">
      <c r="A672" s="4" t="inlineStr">
        <is>
          <t>26-PC-36945</t>
        </is>
      </c>
      <c r="B672" s="4" t="inlineStr">
        <is>
          <t>Hawk Point Fiber Route - Maritime Remote Sensing Survey</t>
        </is>
      </c>
      <c r="C672" s="4" t="inlineStr">
        <is>
          <t>In Progress</t>
        </is>
      </c>
      <c r="D672" s="4" t="inlineStr">
        <is>
          <t>Fixed fee</t>
        </is>
      </c>
      <c r="E672" s="4" t="inlineStr">
        <is>
          <t>Hill Country</t>
        </is>
      </c>
      <c r="F672" s="4" t="inlineStr">
        <is>
          <t>Gail Meza</t>
        </is>
      </c>
      <c r="G672" s="5" t="n">
        <v>496500</v>
      </c>
      <c r="H672" s="5" t="n">
        <v>211211.1</v>
      </c>
      <c r="I672" s="5" t="n">
        <v>185861.75</v>
      </c>
      <c r="J672" s="5" t="n">
        <v>329824.95</v>
      </c>
      <c r="K672" s="5" t="n">
        <v>329824.95</v>
      </c>
      <c r="L672" s="5" t="n">
        <v>0</v>
      </c>
      <c r="M672" s="5" t="n">
        <v>140294.42</v>
      </c>
      <c r="N672" s="5" t="n">
        <v>189530.53</v>
      </c>
      <c r="O672" s="5" t="n">
        <v>189530.53</v>
      </c>
      <c r="P672" s="4" t="n"/>
      <c r="Q672" s="6" t="n">
        <v>0.425</v>
      </c>
      <c r="R672" s="6" t="n">
        <v>0.4254</v>
      </c>
    </row>
    <row r="673">
      <c r="A673" s="4" t="inlineStr">
        <is>
          <t>26-PC-37024</t>
        </is>
      </c>
      <c r="B673" s="4" t="inlineStr">
        <is>
          <t>Hackberry Bend Mine Expansion - Maritime Remote Sensing Survey</t>
        </is>
      </c>
      <c r="C673" s="4" t="inlineStr">
        <is>
          <t>In Progress</t>
        </is>
      </c>
      <c r="D673" s="4" t="inlineStr">
        <is>
          <t>Fixed fee</t>
        </is>
      </c>
      <c r="E673" s="4" t="inlineStr">
        <is>
          <t>Hill Country</t>
        </is>
      </c>
      <c r="F673" s="4" t="inlineStr">
        <is>
          <t>Danielle Villanueva</t>
        </is>
      </c>
      <c r="G673" s="5" t="n">
        <v>78900</v>
      </c>
      <c r="H673" s="5" t="n">
        <v>12979.05</v>
      </c>
      <c r="I673" s="5" t="n">
        <v>10889.26</v>
      </c>
      <c r="J673" s="5" t="n">
        <v>63394.72</v>
      </c>
      <c r="K673" s="5" t="n">
        <v>59087.34</v>
      </c>
      <c r="L673" s="5" t="n">
        <v>4307.38</v>
      </c>
      <c r="M673" s="5" t="n">
        <v>10425.9</v>
      </c>
      <c r="N673" s="5" t="n">
        <v>52968.82</v>
      </c>
      <c r="O673" s="5" t="n">
        <v>48661.44</v>
      </c>
      <c r="P673" s="4" t="n"/>
      <c r="Q673" s="6" t="n">
        <v>0.165</v>
      </c>
      <c r="R673" s="6" t="n">
        <v>0.1645</v>
      </c>
    </row>
    <row r="674">
      <c r="A674" s="4" t="inlineStr">
        <is>
          <t>26-PC-37051</t>
        </is>
      </c>
      <c r="B674" s="4" t="inlineStr">
        <is>
          <t>On-Call: Sandpiper Rail Siding Section 106 Consultation</t>
        </is>
      </c>
      <c r="C674" s="4" t="inlineStr">
        <is>
          <t>Lab/Curation</t>
        </is>
      </c>
      <c r="D674" s="4" t="inlineStr">
        <is>
          <t>Fixed fee</t>
        </is>
      </c>
      <c r="E674" s="4" t="inlineStr">
        <is>
          <t>Hill Country</t>
        </is>
      </c>
      <c r="F674" s="4" t="inlineStr">
        <is>
          <t>Theresa Fernandez</t>
        </is>
      </c>
      <c r="G674" s="5" t="n">
        <v>365900</v>
      </c>
      <c r="H674" s="5" t="n">
        <v>10903.82</v>
      </c>
      <c r="I674" s="5" t="n">
        <v>7006.96</v>
      </c>
      <c r="J674" s="5" t="n">
        <v>243543.04</v>
      </c>
      <c r="K674" s="5" t="n">
        <v>243543.04</v>
      </c>
      <c r="L674" s="5" t="n">
        <v>0</v>
      </c>
      <c r="M674" s="5" t="n">
        <v>7245.79</v>
      </c>
      <c r="N674" s="5" t="n">
        <v>236297.25</v>
      </c>
      <c r="O674" s="5" t="n">
        <v>236297.25</v>
      </c>
      <c r="P674" s="4" t="n"/>
      <c r="Q674" s="6" t="n">
        <v>0.03</v>
      </c>
      <c r="R674" s="6" t="n">
        <v>0.0298</v>
      </c>
    </row>
    <row r="675">
      <c r="A675" s="4" t="inlineStr">
        <is>
          <t>26-PC-37073</t>
        </is>
      </c>
      <c r="B675" s="4" t="inlineStr">
        <is>
          <t>Kestrel Butte Pipeline Curation</t>
        </is>
      </c>
      <c r="C675" s="4" t="inlineStr">
        <is>
          <t>In Progress</t>
        </is>
      </c>
      <c r="D675" s="4" t="inlineStr">
        <is>
          <t>Fixed fee</t>
        </is>
      </c>
      <c r="E675" s="4" t="inlineStr">
        <is>
          <t>Hill Country</t>
        </is>
      </c>
      <c r="F675" s="4" t="inlineStr">
        <is>
          <t>Marcus Shea</t>
        </is>
      </c>
      <c r="G675" s="5" t="n">
        <v>441700</v>
      </c>
      <c r="H675" s="5" t="n">
        <v>11219.18</v>
      </c>
      <c r="I675" s="5" t="n">
        <v>512.97</v>
      </c>
      <c r="J675" s="5" t="n">
        <v>346822.84</v>
      </c>
      <c r="K675" s="5" t="n">
        <v>346822.84</v>
      </c>
      <c r="L675" s="5" t="n">
        <v>0</v>
      </c>
      <c r="M675" s="5" t="n">
        <v>8825.190000000001</v>
      </c>
      <c r="N675" s="5" t="n">
        <v>337997.65</v>
      </c>
      <c r="O675" s="5" t="n">
        <v>337997.65</v>
      </c>
      <c r="P675" s="4" t="n"/>
      <c r="Q675" s="6" t="n">
        <v>0.025</v>
      </c>
      <c r="R675" s="6" t="n">
        <v>0.0254</v>
      </c>
    </row>
    <row r="676">
      <c r="A676" s="4" t="inlineStr">
        <is>
          <t>26-PC-37089</t>
        </is>
      </c>
      <c r="B676" s="4" t="inlineStr">
        <is>
          <t>Rushgrass Draw GIS Mapping</t>
        </is>
      </c>
      <c r="C676" s="4" t="inlineStr">
        <is>
          <t>In Progress</t>
        </is>
      </c>
      <c r="D676" s="4" t="inlineStr">
        <is>
          <t>Time and material</t>
        </is>
      </c>
      <c r="E676" s="4" t="inlineStr">
        <is>
          <t>Hill Country</t>
        </is>
      </c>
      <c r="F676" s="4" t="inlineStr">
        <is>
          <t>Gail Meza</t>
        </is>
      </c>
      <c r="G676" s="5" t="n">
        <v>28900</v>
      </c>
      <c r="H676" s="5" t="n">
        <v>1656.25</v>
      </c>
      <c r="I676" s="5" t="n">
        <v>1656.25</v>
      </c>
      <c r="J676" s="5" t="n">
        <v>19054.14</v>
      </c>
      <c r="K676" s="5" t="n">
        <v>14854.2</v>
      </c>
      <c r="L676" s="5" t="n">
        <v>4199.94</v>
      </c>
      <c r="M676" s="5" t="n">
        <v>1063.17</v>
      </c>
      <c r="N676" s="5" t="n">
        <v>17990.97</v>
      </c>
      <c r="O676" s="5" t="n">
        <v>13791.03</v>
      </c>
      <c r="P676" s="4" t="n"/>
      <c r="Q676" s="6" t="n">
        <v>0.057</v>
      </c>
      <c r="R676" s="6" t="n">
        <v>0.0558</v>
      </c>
    </row>
    <row r="677">
      <c r="A677" s="4" t="inlineStr">
        <is>
          <t>26-PC-37136</t>
        </is>
      </c>
      <c r="B677" s="4" t="inlineStr">
        <is>
          <t>Yarrow Point Housing Development - Section 106 Consultation</t>
        </is>
      </c>
      <c r="C677" s="4" t="inlineStr">
        <is>
          <t>In Progress</t>
        </is>
      </c>
      <c r="D677" s="4" t="inlineStr">
        <is>
          <t>Fixed fee</t>
        </is>
      </c>
      <c r="E677" s="4" t="inlineStr">
        <is>
          <t>Hill Country</t>
        </is>
      </c>
      <c r="F677" s="4" t="inlineStr">
        <is>
          <t>Marcus Shea</t>
        </is>
      </c>
      <c r="G677" s="5" t="n">
        <v>153700</v>
      </c>
      <c r="H677" s="5" t="n">
        <v>54271.47</v>
      </c>
      <c r="I677" s="5" t="n">
        <v>51231.02</v>
      </c>
      <c r="J677" s="5" t="n">
        <v>109797.26</v>
      </c>
      <c r="K677" s="5" t="n">
        <v>86150.47</v>
      </c>
      <c r="L677" s="5" t="n">
        <v>23646.79</v>
      </c>
      <c r="M677" s="5" t="n">
        <v>38767.55</v>
      </c>
      <c r="N677" s="5" t="n">
        <v>71029.70999999999</v>
      </c>
      <c r="O677" s="5" t="n">
        <v>47382.92</v>
      </c>
      <c r="P677" s="4" t="n"/>
      <c r="Q677" s="6" t="n">
        <v>0.353</v>
      </c>
      <c r="R677" s="6" t="n">
        <v>0.3531</v>
      </c>
    </row>
    <row r="678">
      <c r="A678" s="4" t="inlineStr">
        <is>
          <t>26-PC-37138</t>
        </is>
      </c>
      <c r="B678" s="4" t="inlineStr">
        <is>
          <t>Granite Pass Canal Lining - Environmental Review Support</t>
        </is>
      </c>
      <c r="C678" s="4" t="inlineStr">
        <is>
          <t>Final Reporting/Review</t>
        </is>
      </c>
      <c r="D678" s="4" t="inlineStr">
        <is>
          <t>Time and material</t>
        </is>
      </c>
      <c r="E678" s="4" t="inlineStr">
        <is>
          <t>Hill Country</t>
        </is>
      </c>
      <c r="F678" s="4" t="inlineStr">
        <is>
          <t>Gail Meza</t>
        </is>
      </c>
      <c r="G678" s="5" t="n">
        <v>315800</v>
      </c>
      <c r="H678" s="5" t="n">
        <v>49327.5</v>
      </c>
      <c r="I678" s="5" t="n">
        <v>44944.82</v>
      </c>
      <c r="J678" s="5" t="n">
        <v>223705.16</v>
      </c>
      <c r="K678" s="5" t="n">
        <v>164829.33</v>
      </c>
      <c r="L678" s="5" t="n">
        <v>58875.83</v>
      </c>
      <c r="M678" s="5" t="n">
        <v>33971.44</v>
      </c>
      <c r="N678" s="5" t="n">
        <v>189733.72</v>
      </c>
      <c r="O678" s="5" t="n">
        <v>130857.89</v>
      </c>
      <c r="P678" s="4" t="n"/>
      <c r="Q678" s="6" t="n">
        <v>0.156</v>
      </c>
      <c r="R678" s="6" t="n">
        <v>0.1519</v>
      </c>
    </row>
    <row r="679">
      <c r="A679" s="4" t="inlineStr">
        <is>
          <t>26-PC-37139</t>
        </is>
      </c>
      <c r="B679" s="4" t="inlineStr">
        <is>
          <t>Goldfinch Reservoir Environmental Review Support</t>
        </is>
      </c>
      <c r="C679" s="4" t="inlineStr">
        <is>
          <t>In Progress</t>
        </is>
      </c>
      <c r="D679" s="4" t="inlineStr">
        <is>
          <t>Time and material</t>
        </is>
      </c>
      <c r="E679" s="4" t="inlineStr">
        <is>
          <t>Hill Country</t>
        </is>
      </c>
      <c r="F679" s="4" t="inlineStr">
        <is>
          <t>Theresa Fernandez</t>
        </is>
      </c>
      <c r="G679" s="5" t="n">
        <v>1070500</v>
      </c>
      <c r="H679" s="5" t="n">
        <v>113864.25</v>
      </c>
      <c r="I679" s="5" t="n">
        <v>91019.47</v>
      </c>
      <c r="J679" s="5" t="n">
        <v>734587.52</v>
      </c>
      <c r="K679" s="5" t="n">
        <v>579542.04</v>
      </c>
      <c r="L679" s="5" t="n">
        <v>155045.48</v>
      </c>
      <c r="M679" s="5" t="n">
        <v>66797.88</v>
      </c>
      <c r="N679" s="5" t="n">
        <v>667789.64</v>
      </c>
      <c r="O679" s="5" t="n">
        <v>512744.16</v>
      </c>
      <c r="P679" s="4" t="n"/>
      <c r="Q679" s="6" t="n">
        <v>0.106</v>
      </c>
      <c r="R679" s="6" t="n">
        <v>0.09089999999999999</v>
      </c>
    </row>
    <row r="680">
      <c r="A680" s="4" t="inlineStr">
        <is>
          <t>26-PC-37196</t>
        </is>
      </c>
      <c r="B680" s="4" t="inlineStr">
        <is>
          <t>Sea Oat Built Environment Survey</t>
        </is>
      </c>
      <c r="C680" s="4" t="inlineStr">
        <is>
          <t>In Progress</t>
        </is>
      </c>
      <c r="D680" s="4" t="inlineStr">
        <is>
          <t>Fixed fee</t>
        </is>
      </c>
      <c r="E680" s="4" t="inlineStr">
        <is>
          <t>Hill Country</t>
        </is>
      </c>
      <c r="F680" s="4" t="inlineStr">
        <is>
          <t>Suzanne Mcmillan</t>
        </is>
      </c>
      <c r="G680" s="5" t="n">
        <v>26900</v>
      </c>
      <c r="H680" s="5" t="n">
        <v>0</v>
      </c>
      <c r="I680" s="5" t="n">
        <v>0</v>
      </c>
      <c r="J680" s="5" t="n">
        <v>22881.14</v>
      </c>
      <c r="K680" s="5" t="n">
        <v>22881.14</v>
      </c>
      <c r="L680" s="5" t="n">
        <v>0</v>
      </c>
      <c r="M680" s="5" t="n">
        <v>0</v>
      </c>
      <c r="N680" s="5" t="n">
        <v>22881.14</v>
      </c>
      <c r="O680" s="5" t="n">
        <v>22881.14</v>
      </c>
      <c r="P680" s="4" t="n"/>
      <c r="Q680" s="6" t="n">
        <v>0</v>
      </c>
      <c r="R680" s="6" t="n">
        <v>0</v>
      </c>
    </row>
    <row r="681">
      <c r="A681" s="4" t="inlineStr">
        <is>
          <t>26-PC-37204</t>
        </is>
      </c>
      <c r="B681" s="4" t="inlineStr">
        <is>
          <t>On-Call: Saltgrass Housing Development Built Environment Survey</t>
        </is>
      </c>
      <c r="C681" s="4" t="inlineStr">
        <is>
          <t>In Progress</t>
        </is>
      </c>
      <c r="D681" s="4" t="inlineStr">
        <is>
          <t>Time and material</t>
        </is>
      </c>
      <c r="E681" s="4" t="inlineStr">
        <is>
          <t>Hill Country</t>
        </is>
      </c>
      <c r="F681" s="4" t="inlineStr">
        <is>
          <t>Gail Meza</t>
        </is>
      </c>
      <c r="G681" s="5" t="n">
        <v>201900</v>
      </c>
      <c r="H681" s="5" t="n">
        <v>73828.25</v>
      </c>
      <c r="I681" s="5" t="n">
        <v>69269.36</v>
      </c>
      <c r="J681" s="5" t="n">
        <v>145630.47</v>
      </c>
      <c r="K681" s="5" t="n">
        <v>145630.47</v>
      </c>
      <c r="L681" s="5" t="n">
        <v>0</v>
      </c>
      <c r="M681" s="5" t="n">
        <v>45387.98</v>
      </c>
      <c r="N681" s="5" t="n">
        <v>100242.49</v>
      </c>
      <c r="O681" s="5" t="n">
        <v>100242.49</v>
      </c>
      <c r="P681" s="4" t="n"/>
      <c r="Q681" s="6" t="n">
        <v>0.366</v>
      </c>
      <c r="R681" s="6" t="n">
        <v>0.3117</v>
      </c>
    </row>
    <row r="682">
      <c r="A682" s="4" t="inlineStr">
        <is>
          <t>26-PC-37271</t>
        </is>
      </c>
      <c r="B682" s="4" t="inlineStr">
        <is>
          <t>Maple Fork Wind Farm Built Environment Survey</t>
        </is>
      </c>
      <c r="C682" s="4" t="inlineStr">
        <is>
          <t>In Progress</t>
        </is>
      </c>
      <c r="D682" s="4" t="inlineStr">
        <is>
          <t>Time and material</t>
        </is>
      </c>
      <c r="E682" s="4" t="inlineStr">
        <is>
          <t>Hill Country</t>
        </is>
      </c>
      <c r="F682" s="4" t="inlineStr">
        <is>
          <t>Gail Meza</t>
        </is>
      </c>
      <c r="G682" s="5" t="n">
        <v>879900</v>
      </c>
      <c r="H682" s="5" t="n">
        <v>258254.5</v>
      </c>
      <c r="I682" s="5" t="n">
        <v>204281.16</v>
      </c>
      <c r="J682" s="5" t="n">
        <v>587259.92</v>
      </c>
      <c r="K682" s="5" t="n">
        <v>482467.22</v>
      </c>
      <c r="L682" s="5" t="n">
        <v>104792.7</v>
      </c>
      <c r="M682" s="5" t="n">
        <v>171065.39</v>
      </c>
      <c r="N682" s="5" t="n">
        <v>416194.53</v>
      </c>
      <c r="O682" s="5" t="n">
        <v>311401.83</v>
      </c>
      <c r="P682" s="4" t="n"/>
      <c r="Q682" s="6" t="n">
        <v>0.294</v>
      </c>
      <c r="R682" s="6" t="n">
        <v>0.2913</v>
      </c>
    </row>
    <row r="683">
      <c r="A683" s="4" t="inlineStr">
        <is>
          <t>26-PC-37282</t>
        </is>
      </c>
      <c r="B683" s="4" t="inlineStr">
        <is>
          <t>Windmill Flat Harbor Dredging GIS Mapping</t>
        </is>
      </c>
      <c r="C683" s="4" t="inlineStr">
        <is>
          <t>In Progress</t>
        </is>
      </c>
      <c r="D683" s="4" t="inlineStr">
        <is>
          <t>Fixed fee</t>
        </is>
      </c>
      <c r="E683" s="4" t="inlineStr">
        <is>
          <t>Hill Country</t>
        </is>
      </c>
      <c r="F683" s="4" t="inlineStr">
        <is>
          <t>Suzanne Mcmillan</t>
        </is>
      </c>
      <c r="G683" s="5" t="n">
        <v>48800</v>
      </c>
      <c r="H683" s="5" t="n">
        <v>761.28</v>
      </c>
      <c r="I683" s="5" t="n">
        <v>644.79</v>
      </c>
      <c r="J683" s="5" t="n">
        <v>41616.64</v>
      </c>
      <c r="K683" s="5" t="n">
        <v>41616.64</v>
      </c>
      <c r="L683" s="5" t="n">
        <v>0</v>
      </c>
      <c r="M683" s="5" t="n">
        <v>649.35</v>
      </c>
      <c r="N683" s="5" t="n">
        <v>40967.29</v>
      </c>
      <c r="O683" s="5" t="n">
        <v>40967.29</v>
      </c>
      <c r="P683" s="4" t="n"/>
      <c r="Q683" s="6" t="n">
        <v>0.016</v>
      </c>
      <c r="R683" s="6" t="n">
        <v>0.0156</v>
      </c>
    </row>
    <row r="684">
      <c r="A684" s="4" t="inlineStr">
        <is>
          <t>26-PC-37317</t>
        </is>
      </c>
      <c r="B684" s="4" t="inlineStr">
        <is>
          <t>Hackberry Bend Environmental Review Support</t>
        </is>
      </c>
      <c r="C684" s="4" t="inlineStr">
        <is>
          <t>In Progress</t>
        </is>
      </c>
      <c r="D684" s="4" t="inlineStr">
        <is>
          <t>Time and material</t>
        </is>
      </c>
      <c r="E684" s="4" t="inlineStr">
        <is>
          <t>Hill Country</t>
        </is>
      </c>
      <c r="F684" s="4" t="inlineStr">
        <is>
          <t>Danielle Villanueva</t>
        </is>
      </c>
      <c r="G684" s="5" t="n">
        <v>348700</v>
      </c>
      <c r="H684" s="5" t="n">
        <v>11592.75</v>
      </c>
      <c r="I684" s="5" t="n">
        <v>10796.07</v>
      </c>
      <c r="J684" s="5" t="n">
        <v>224737.15</v>
      </c>
      <c r="K684" s="5" t="n">
        <v>224737.15</v>
      </c>
      <c r="L684" s="5" t="n">
        <v>0</v>
      </c>
      <c r="M684" s="5" t="n">
        <v>7817.14</v>
      </c>
      <c r="N684" s="5" t="n">
        <v>216920.01</v>
      </c>
      <c r="O684" s="5" t="n">
        <v>216920.01</v>
      </c>
      <c r="P684" s="4" t="n"/>
      <c r="Q684" s="6" t="n">
        <v>0.033</v>
      </c>
      <c r="R684" s="6" t="n">
        <v>0.0348</v>
      </c>
    </row>
    <row r="685">
      <c r="A685" s="4" t="inlineStr">
        <is>
          <t>26-PC-37322</t>
        </is>
      </c>
      <c r="B685" s="4" t="inlineStr">
        <is>
          <t>Maple Fork Canal Lining Built Environment Survey</t>
        </is>
      </c>
      <c r="C685" s="4" t="inlineStr">
        <is>
          <t>In Progress</t>
        </is>
      </c>
      <c r="D685" s="4" t="inlineStr">
        <is>
          <t>Time and material</t>
        </is>
      </c>
      <c r="E685" s="4" t="inlineStr">
        <is>
          <t>Hill Country</t>
        </is>
      </c>
      <c r="F685" s="4" t="inlineStr">
        <is>
          <t>Danielle Villanueva</t>
        </is>
      </c>
      <c r="G685" s="5" t="n">
        <v>30900</v>
      </c>
      <c r="H685" s="5" t="n">
        <v>5098.25</v>
      </c>
      <c r="I685" s="5" t="n">
        <v>1737.78</v>
      </c>
      <c r="J685" s="5" t="n">
        <v>21095.43</v>
      </c>
      <c r="K685" s="5" t="n">
        <v>21095.43</v>
      </c>
      <c r="L685" s="5" t="n">
        <v>0</v>
      </c>
      <c r="M685" s="5" t="n">
        <v>2933.98</v>
      </c>
      <c r="N685" s="5" t="n">
        <v>18161.45</v>
      </c>
      <c r="O685" s="5" t="n">
        <v>18161.45</v>
      </c>
      <c r="P685" s="4" t="n"/>
      <c r="Q685" s="6" t="n">
        <v>0.165</v>
      </c>
      <c r="R685" s="6" t="n">
        <v>0.1391</v>
      </c>
    </row>
    <row r="686">
      <c r="A686" s="4" t="inlineStr">
        <is>
          <t>26-PC-37329</t>
        </is>
      </c>
      <c r="B686" s="4" t="inlineStr">
        <is>
          <t>Stone Mill Battery Storage Built Environment Survey</t>
        </is>
      </c>
      <c r="C686" s="4" t="inlineStr">
        <is>
          <t>Final Reporting/Review</t>
        </is>
      </c>
      <c r="D686" s="4" t="inlineStr">
        <is>
          <t>Fixed fee</t>
        </is>
      </c>
      <c r="E686" s="4" t="inlineStr">
        <is>
          <t>Hill Country</t>
        </is>
      </c>
      <c r="F686" s="4" t="inlineStr">
        <is>
          <t>Glen Delacruz</t>
        </is>
      </c>
      <c r="G686" s="5" t="n">
        <v>32600</v>
      </c>
      <c r="H686" s="5" t="n">
        <v>20707.52</v>
      </c>
      <c r="I686" s="5" t="n">
        <v>14930.69</v>
      </c>
      <c r="J686" s="5" t="n">
        <v>25463.86</v>
      </c>
      <c r="K686" s="5" t="n">
        <v>25463.86</v>
      </c>
      <c r="L686" s="5" t="n">
        <v>0</v>
      </c>
      <c r="M686" s="5" t="n">
        <v>16175.73</v>
      </c>
      <c r="N686" s="5" t="n">
        <v>9288.130000000001</v>
      </c>
      <c r="O686" s="5" t="n">
        <v>9288.130000000001</v>
      </c>
      <c r="P686" s="4" t="n"/>
      <c r="Q686" s="6" t="n">
        <v>0.635</v>
      </c>
      <c r="R686" s="6" t="n">
        <v>0.6352</v>
      </c>
    </row>
    <row r="687">
      <c r="A687" s="4" t="inlineStr">
        <is>
          <t>26-PC-37368</t>
        </is>
      </c>
      <c r="B687" s="4" t="inlineStr">
        <is>
          <t>Cedar Hollow Mine Expansion - Section 106 Consultation</t>
        </is>
      </c>
      <c r="C687" s="4" t="inlineStr">
        <is>
          <t>In Progress</t>
        </is>
      </c>
      <c r="D687" s="4" t="inlineStr">
        <is>
          <t>Fixed fee</t>
        </is>
      </c>
      <c r="E687" s="4" t="inlineStr">
        <is>
          <t>Piedmont</t>
        </is>
      </c>
      <c r="F687" s="4" t="inlineStr">
        <is>
          <t>Maria Parrish</t>
        </is>
      </c>
      <c r="G687" s="5" t="n">
        <v>201100</v>
      </c>
      <c r="H687" s="5" t="n">
        <v>9069.610000000001</v>
      </c>
      <c r="I687" s="5" t="n">
        <v>2512.18</v>
      </c>
      <c r="J687" s="5" t="n">
        <v>123555.84</v>
      </c>
      <c r="K687" s="5" t="n">
        <v>123555.84</v>
      </c>
      <c r="L687" s="5" t="n">
        <v>0</v>
      </c>
      <c r="M687" s="5" t="n">
        <v>5568.91</v>
      </c>
      <c r="N687" s="5" t="n">
        <v>117986.93</v>
      </c>
      <c r="O687" s="5" t="n">
        <v>117986.93</v>
      </c>
      <c r="P687" s="4" t="n"/>
      <c r="Q687" s="6" t="n">
        <v>0.045</v>
      </c>
      <c r="R687" s="6" t="n">
        <v>0.0451</v>
      </c>
    </row>
    <row r="688">
      <c r="A688" s="4" t="inlineStr">
        <is>
          <t>26-PC-37428</t>
        </is>
      </c>
      <c r="B688" s="4" t="inlineStr">
        <is>
          <t>Ember Valley Section 106 Consultation</t>
        </is>
      </c>
      <c r="C688" s="4" t="inlineStr">
        <is>
          <t>In Progress</t>
        </is>
      </c>
      <c r="D688" s="4" t="inlineStr">
        <is>
          <t>Fixed fee</t>
        </is>
      </c>
      <c r="E688" s="4" t="inlineStr">
        <is>
          <t>Piedmont</t>
        </is>
      </c>
      <c r="F688" s="4" t="inlineStr">
        <is>
          <t>Megan Pineda</t>
        </is>
      </c>
      <c r="G688" s="5" t="n">
        <v>57900</v>
      </c>
      <c r="H688" s="5" t="n">
        <v>16895.22</v>
      </c>
      <c r="I688" s="5" t="n">
        <v>2174.77</v>
      </c>
      <c r="J688" s="5" t="n">
        <v>44206.65</v>
      </c>
      <c r="K688" s="5" t="n">
        <v>44206.65</v>
      </c>
      <c r="L688" s="5" t="n">
        <v>0</v>
      </c>
      <c r="M688" s="5" t="n">
        <v>12898.79</v>
      </c>
      <c r="N688" s="5" t="n">
        <v>31307.86</v>
      </c>
      <c r="O688" s="5" t="n">
        <v>31307.86</v>
      </c>
      <c r="P688" s="4" t="n"/>
      <c r="Q688" s="6" t="n">
        <v>0.292</v>
      </c>
      <c r="R688" s="6" t="n">
        <v>0.2918</v>
      </c>
    </row>
    <row r="689">
      <c r="A689" s="4" t="inlineStr">
        <is>
          <t>26-PC-37513</t>
        </is>
      </c>
      <c r="B689" s="4" t="inlineStr">
        <is>
          <t>Harbor View Housing Development Paleontological Monitoring</t>
        </is>
      </c>
      <c r="C689" s="4" t="inlineStr">
        <is>
          <t>Final Reporting/Review</t>
        </is>
      </c>
      <c r="D689" s="4" t="inlineStr">
        <is>
          <t>Fixed fee</t>
        </is>
      </c>
      <c r="E689" s="4" t="inlineStr">
        <is>
          <t>Piedmont</t>
        </is>
      </c>
      <c r="F689" s="4" t="inlineStr">
        <is>
          <t>Jody Chung</t>
        </is>
      </c>
      <c r="G689" s="5" t="n">
        <v>34700</v>
      </c>
      <c r="H689" s="5" t="n">
        <v>0</v>
      </c>
      <c r="I689" s="5" t="n">
        <v>0</v>
      </c>
      <c r="J689" s="5" t="n">
        <v>23634.17</v>
      </c>
      <c r="K689" s="5" t="n">
        <v>23634.17</v>
      </c>
      <c r="L689" s="5" t="n">
        <v>0</v>
      </c>
      <c r="M689" s="5" t="n">
        <v>0</v>
      </c>
      <c r="N689" s="5" t="n">
        <v>23634.17</v>
      </c>
      <c r="O689" s="5" t="n">
        <v>23634.17</v>
      </c>
      <c r="P689" s="4" t="n"/>
      <c r="Q689" s="6" t="n">
        <v>0</v>
      </c>
      <c r="R689" s="6" t="n">
        <v>0</v>
      </c>
    </row>
    <row r="690">
      <c r="A690" s="4" t="inlineStr">
        <is>
          <t>26-PC-37543</t>
        </is>
      </c>
      <c r="B690" s="4" t="inlineStr">
        <is>
          <t>Pebble Beach Road Historic Resources Evaluation</t>
        </is>
      </c>
      <c r="C690" s="4" t="inlineStr">
        <is>
          <t>In Progress</t>
        </is>
      </c>
      <c r="D690" s="4" t="inlineStr">
        <is>
          <t>Fixed fee</t>
        </is>
      </c>
      <c r="E690" s="4" t="inlineStr">
        <is>
          <t>Piedmont</t>
        </is>
      </c>
      <c r="F690" s="4" t="inlineStr">
        <is>
          <t>Maria Parrish</t>
        </is>
      </c>
      <c r="G690" s="5" t="n">
        <v>330200</v>
      </c>
      <c r="H690" s="5" t="n">
        <v>149382.48</v>
      </c>
      <c r="I690" s="5" t="n">
        <v>133334.89</v>
      </c>
      <c r="J690" s="5" t="n">
        <v>218394.28</v>
      </c>
      <c r="K690" s="5" t="n">
        <v>218394.28</v>
      </c>
      <c r="L690" s="5" t="n">
        <v>0</v>
      </c>
      <c r="M690" s="5" t="n">
        <v>98791.10000000001</v>
      </c>
      <c r="N690" s="5" t="n">
        <v>119603.18</v>
      </c>
      <c r="O690" s="5" t="n">
        <v>119603.18</v>
      </c>
      <c r="P690" s="4" t="n"/>
      <c r="Q690" s="6" t="n">
        <v>0.452</v>
      </c>
      <c r="R690" s="6" t="n">
        <v>0.4524</v>
      </c>
    </row>
    <row r="691">
      <c r="A691" s="4" t="inlineStr">
        <is>
          <t>26-PC-37559</t>
        </is>
      </c>
      <c r="B691" s="4" t="inlineStr">
        <is>
          <t>Badger Hollow Paleontological Monitoring</t>
        </is>
      </c>
      <c r="C691" s="4" t="inlineStr">
        <is>
          <t>In Progress</t>
        </is>
      </c>
      <c r="D691" s="4" t="inlineStr">
        <is>
          <t>Time and material</t>
        </is>
      </c>
      <c r="E691" s="4" t="inlineStr">
        <is>
          <t>Piedmont</t>
        </is>
      </c>
      <c r="F691" s="4" t="inlineStr">
        <is>
          <t>Jody Chung</t>
        </is>
      </c>
      <c r="G691" s="5" t="n">
        <v>44300</v>
      </c>
      <c r="H691" s="5" t="n">
        <v>44300</v>
      </c>
      <c r="I691" s="5" t="n">
        <v>33494.39</v>
      </c>
      <c r="J691" s="5" t="n">
        <v>28024.18</v>
      </c>
      <c r="K691" s="5" t="n">
        <v>28024.18</v>
      </c>
      <c r="L691" s="5" t="n">
        <v>0</v>
      </c>
      <c r="M691" s="5" t="n">
        <v>45539.17</v>
      </c>
      <c r="N691" s="5" t="n">
        <v>-17514.99</v>
      </c>
      <c r="O691" s="5" t="n">
        <v>-17514.99</v>
      </c>
      <c r="P691" s="4" t="n"/>
      <c r="Q691" s="6" t="n">
        <v>1</v>
      </c>
      <c r="R691" s="6" t="n">
        <v>1.625</v>
      </c>
    </row>
    <row r="692">
      <c r="A692" s="4" t="inlineStr">
        <is>
          <t>26-PC-37671</t>
        </is>
      </c>
      <c r="B692" s="4" t="inlineStr">
        <is>
          <t>Harbor View Mixed-Use Development Architectural History Survey</t>
        </is>
      </c>
      <c r="C692" s="4" t="inlineStr">
        <is>
          <t>In Progress</t>
        </is>
      </c>
      <c r="D692" s="4" t="inlineStr">
        <is>
          <t>Time and material</t>
        </is>
      </c>
      <c r="E692" s="4" t="inlineStr">
        <is>
          <t>Piedmont</t>
        </is>
      </c>
      <c r="F692" s="4" t="inlineStr">
        <is>
          <t>Annette Vaughan</t>
        </is>
      </c>
      <c r="G692" s="5" t="n">
        <v>145900</v>
      </c>
      <c r="H692" s="5" t="n">
        <v>9234.5</v>
      </c>
      <c r="I692" s="5" t="n">
        <v>9234.5</v>
      </c>
      <c r="J692" s="5" t="n">
        <v>92486.00999999999</v>
      </c>
      <c r="K692" s="5" t="n">
        <v>92486.00999999999</v>
      </c>
      <c r="L692" s="5" t="n">
        <v>0</v>
      </c>
      <c r="M692" s="5" t="n">
        <v>6017.12</v>
      </c>
      <c r="N692" s="5" t="n">
        <v>86468.89</v>
      </c>
      <c r="O692" s="5" t="n">
        <v>86468.89</v>
      </c>
      <c r="P692" s="4" t="n"/>
      <c r="Q692" s="6" t="n">
        <v>0.063</v>
      </c>
      <c r="R692" s="6" t="n">
        <v>0.06510000000000001</v>
      </c>
    </row>
    <row r="693">
      <c r="A693" s="4" t="inlineStr">
        <is>
          <t>26-PC-37705</t>
        </is>
      </c>
      <c r="B693" s="4" t="inlineStr">
        <is>
          <t>On-Call: Silver Lake Canal Lining Curation</t>
        </is>
      </c>
      <c r="C693" s="4" t="inlineStr">
        <is>
          <t>In Progress</t>
        </is>
      </c>
      <c r="D693" s="4" t="inlineStr">
        <is>
          <t>Fixed fee</t>
        </is>
      </c>
      <c r="E693" s="4" t="inlineStr">
        <is>
          <t>Piedmont</t>
        </is>
      </c>
      <c r="F693" s="4" t="inlineStr">
        <is>
          <t>Jody Chung</t>
        </is>
      </c>
      <c r="G693" s="5" t="n">
        <v>40300</v>
      </c>
      <c r="H693" s="5" t="n">
        <v>31772.52</v>
      </c>
      <c r="I693" s="5" t="n">
        <v>24174.36</v>
      </c>
      <c r="J693" s="5" t="n">
        <v>32312.54</v>
      </c>
      <c r="K693" s="5" t="n">
        <v>32312.54</v>
      </c>
      <c r="L693" s="5" t="n">
        <v>0</v>
      </c>
      <c r="M693" s="5" t="n">
        <v>25475.14</v>
      </c>
      <c r="N693" s="5" t="n">
        <v>6837.400000000001</v>
      </c>
      <c r="O693" s="5" t="n">
        <v>6837.400000000001</v>
      </c>
      <c r="P693" s="4" t="n"/>
      <c r="Q693" s="6" t="n">
        <v>0.788</v>
      </c>
      <c r="R693" s="6" t="n">
        <v>0.7884</v>
      </c>
    </row>
    <row r="694">
      <c r="A694" s="4" t="inlineStr">
        <is>
          <t>26-PC-37709</t>
        </is>
      </c>
      <c r="B694" s="4" t="inlineStr">
        <is>
          <t>Sage Flat Phase I Survey</t>
        </is>
      </c>
      <c r="C694" s="4" t="inlineStr">
        <is>
          <t>Final Reporting/Review</t>
        </is>
      </c>
      <c r="D694" s="4" t="inlineStr">
        <is>
          <t>Fixed fee</t>
        </is>
      </c>
      <c r="E694" s="4" t="inlineStr">
        <is>
          <t>Piedmont</t>
        </is>
      </c>
      <c r="F694" s="4" t="inlineStr">
        <is>
          <t>Maria Parrish</t>
        </is>
      </c>
      <c r="G694" s="5" t="n">
        <v>31500</v>
      </c>
      <c r="H694" s="5" t="n">
        <v>31500</v>
      </c>
      <c r="I694" s="5" t="n">
        <v>16533.22</v>
      </c>
      <c r="J694" s="5" t="n">
        <v>21725.55</v>
      </c>
      <c r="K694" s="5" t="n">
        <v>21725.55</v>
      </c>
      <c r="L694" s="5" t="n">
        <v>0</v>
      </c>
      <c r="M694" s="5" t="n">
        <v>30289.1</v>
      </c>
      <c r="N694" s="5" t="n">
        <v>-8563.549999999999</v>
      </c>
      <c r="O694" s="5" t="n">
        <v>-8563.549999999999</v>
      </c>
      <c r="P694" s="4" t="n"/>
      <c r="Q694" s="6" t="n">
        <v>1</v>
      </c>
      <c r="R694" s="6" t="n">
        <v>1.3942</v>
      </c>
    </row>
    <row r="695">
      <c r="A695" s="4" t="inlineStr">
        <is>
          <t>26-PC-37788</t>
        </is>
      </c>
      <c r="B695" s="4" t="inlineStr">
        <is>
          <t>Sumac Ridge Cultural Resources Assessment</t>
        </is>
      </c>
      <c r="C695" s="4" t="inlineStr">
        <is>
          <t>In Progress</t>
        </is>
      </c>
      <c r="D695" s="4" t="inlineStr">
        <is>
          <t>Fixed fee</t>
        </is>
      </c>
      <c r="E695" s="4" t="inlineStr">
        <is>
          <t>Piedmont</t>
        </is>
      </c>
      <c r="F695" s="4" t="inlineStr">
        <is>
          <t>Jody Chung</t>
        </is>
      </c>
      <c r="G695" s="5" t="n">
        <v>1112800</v>
      </c>
      <c r="H695" s="5" t="n">
        <v>22812.4</v>
      </c>
      <c r="I695" s="5" t="n">
        <v>20528.14</v>
      </c>
      <c r="J695" s="5" t="n">
        <v>826476.5600000001</v>
      </c>
      <c r="K695" s="5" t="n">
        <v>826476.5600000001</v>
      </c>
      <c r="L695" s="5" t="n">
        <v>0</v>
      </c>
      <c r="M695" s="5" t="n">
        <v>16908.48</v>
      </c>
      <c r="N695" s="5" t="n">
        <v>809568.0800000001</v>
      </c>
      <c r="O695" s="5" t="n">
        <v>809568.0800000001</v>
      </c>
      <c r="P695" s="4" t="n"/>
      <c r="Q695" s="6" t="n">
        <v>0.021</v>
      </c>
      <c r="R695" s="6" t="n">
        <v>0.0205</v>
      </c>
    </row>
    <row r="696">
      <c r="A696" s="4" t="inlineStr">
        <is>
          <t>26-PC-37965</t>
        </is>
      </c>
      <c r="B696" s="4" t="inlineStr">
        <is>
          <t>Redbud Cultural Resources Assessment</t>
        </is>
      </c>
      <c r="C696" s="4" t="inlineStr">
        <is>
          <t>In Progress</t>
        </is>
      </c>
      <c r="D696" s="4" t="inlineStr">
        <is>
          <t>Time and material</t>
        </is>
      </c>
      <c r="E696" s="4" t="inlineStr">
        <is>
          <t>Piedmont</t>
        </is>
      </c>
      <c r="F696" s="4" t="inlineStr">
        <is>
          <t>Annette Vaughan</t>
        </is>
      </c>
      <c r="G696" s="5" t="n">
        <v>55400</v>
      </c>
      <c r="H696" s="5" t="n">
        <v>50946.25</v>
      </c>
      <c r="I696" s="5" t="n">
        <v>31520.73</v>
      </c>
      <c r="J696" s="5" t="n">
        <v>34625</v>
      </c>
      <c r="K696" s="5" t="n">
        <v>34625</v>
      </c>
      <c r="L696" s="5" t="n">
        <v>0</v>
      </c>
      <c r="M696" s="5" t="n">
        <v>31687.21</v>
      </c>
      <c r="N696" s="5" t="n">
        <v>2937.790000000001</v>
      </c>
      <c r="O696" s="5" t="n">
        <v>2937.790000000001</v>
      </c>
      <c r="P696" s="4" t="n"/>
      <c r="Q696" s="6" t="n">
        <v>0.92</v>
      </c>
      <c r="R696" s="6" t="n">
        <v>0.9152</v>
      </c>
    </row>
    <row r="697">
      <c r="A697" s="4" t="inlineStr">
        <is>
          <t>26-PC-38025</t>
        </is>
      </c>
      <c r="B697" s="4" t="inlineStr">
        <is>
          <t>Granite Pass Section 106 Consultation</t>
        </is>
      </c>
      <c r="C697" s="4" t="inlineStr">
        <is>
          <t>In Progress</t>
        </is>
      </c>
      <c r="D697" s="4" t="inlineStr">
        <is>
          <t>Time and material</t>
        </is>
      </c>
      <c r="E697" s="4" t="inlineStr">
        <is>
          <t>Prairie</t>
        </is>
      </c>
      <c r="F697" s="4" t="inlineStr">
        <is>
          <t>Sherry Lloyd</t>
        </is>
      </c>
      <c r="G697" s="5" t="n">
        <v>92200</v>
      </c>
      <c r="H697" s="5" t="n">
        <v>12549.75</v>
      </c>
      <c r="I697" s="5" t="n">
        <v>10628.35</v>
      </c>
      <c r="J697" s="5" t="n">
        <v>64982.56</v>
      </c>
      <c r="K697" s="5" t="n">
        <v>64982.56</v>
      </c>
      <c r="L697" s="5" t="n">
        <v>0</v>
      </c>
      <c r="M697" s="5" t="n">
        <v>8252.26</v>
      </c>
      <c r="N697" s="5" t="n">
        <v>56730.3</v>
      </c>
      <c r="O697" s="5" t="n">
        <v>56730.3</v>
      </c>
      <c r="P697" s="4" t="n"/>
      <c r="Q697" s="6" t="n">
        <v>0.136</v>
      </c>
      <c r="R697" s="6" t="n">
        <v>0.127</v>
      </c>
    </row>
    <row r="698">
      <c r="A698" s="4" t="inlineStr">
        <is>
          <t>26-PC-38153</t>
        </is>
      </c>
      <c r="B698" s="4" t="inlineStr">
        <is>
          <t>Harbor View Reservoir Environmental Review Support</t>
        </is>
      </c>
      <c r="C698" s="4" t="inlineStr">
        <is>
          <t>In Progress</t>
        </is>
      </c>
      <c r="D698" s="4" t="inlineStr">
        <is>
          <t>Fixed fee</t>
        </is>
      </c>
      <c r="E698" s="4" t="inlineStr">
        <is>
          <t>Prairie</t>
        </is>
      </c>
      <c r="F698" s="4" t="inlineStr">
        <is>
          <t>Sherry Lloyd</t>
        </is>
      </c>
      <c r="G698" s="5" t="n">
        <v>109100</v>
      </c>
      <c r="H698" s="5" t="n">
        <v>61521.49</v>
      </c>
      <c r="I698" s="5" t="n">
        <v>54072.6</v>
      </c>
      <c r="J698" s="5" t="n">
        <v>89766.42999999999</v>
      </c>
      <c r="K698" s="5" t="n">
        <v>69277.74000000001</v>
      </c>
      <c r="L698" s="5" t="n">
        <v>20488.69</v>
      </c>
      <c r="M698" s="5" t="n">
        <v>50619.25</v>
      </c>
      <c r="N698" s="5" t="n">
        <v>39147.17999999999</v>
      </c>
      <c r="O698" s="5" t="n">
        <v>18658.49000000001</v>
      </c>
      <c r="P698" s="4" t="n"/>
      <c r="Q698" s="6" t="n">
        <v>0.5639999999999999</v>
      </c>
      <c r="R698" s="6" t="n">
        <v>0.5639</v>
      </c>
    </row>
    <row r="699">
      <c r="A699" s="4" t="inlineStr">
        <is>
          <t>26-PC-38215</t>
        </is>
      </c>
      <c r="B699" s="4" t="inlineStr">
        <is>
          <t>Phase I: Juniper Wash Cell Tower Historic Resources Evaluation</t>
        </is>
      </c>
      <c r="C699" s="4" t="inlineStr">
        <is>
          <t>In Progress</t>
        </is>
      </c>
      <c r="D699" s="4" t="inlineStr">
        <is>
          <t>Fixed fee</t>
        </is>
      </c>
      <c r="E699" s="4" t="inlineStr">
        <is>
          <t>Prairie</t>
        </is>
      </c>
      <c r="F699" s="4" t="inlineStr">
        <is>
          <t>Sherry Lloyd</t>
        </is>
      </c>
      <c r="G699" s="5" t="n">
        <v>42800</v>
      </c>
      <c r="H699" s="5" t="n">
        <v>14868.72</v>
      </c>
      <c r="I699" s="5" t="n">
        <v>8160.18</v>
      </c>
      <c r="J699" s="5" t="n">
        <v>37664</v>
      </c>
      <c r="K699" s="5" t="n">
        <v>37664</v>
      </c>
      <c r="L699" s="5" t="n">
        <v>0</v>
      </c>
      <c r="M699" s="5" t="n">
        <v>13083.31</v>
      </c>
      <c r="N699" s="5" t="n">
        <v>24580.69</v>
      </c>
      <c r="O699" s="5" t="n">
        <v>24580.69</v>
      </c>
      <c r="P699" s="4" t="n"/>
      <c r="Q699" s="6" t="n">
        <v>0.347</v>
      </c>
      <c r="R699" s="6" t="n">
        <v>0.3474</v>
      </c>
    </row>
    <row r="700">
      <c r="A700" s="4" t="inlineStr">
        <is>
          <t>26-PC-38264</t>
        </is>
      </c>
      <c r="B700" s="4" t="inlineStr">
        <is>
          <t>On-Call: Coyote Springs Battery Storage Phase II Testing</t>
        </is>
      </c>
      <c r="C700" s="4" t="inlineStr">
        <is>
          <t>Final Reporting/Review</t>
        </is>
      </c>
      <c r="D700" s="4" t="inlineStr">
        <is>
          <t>Fixed fee</t>
        </is>
      </c>
      <c r="E700" s="4" t="inlineStr">
        <is>
          <t>Prairie</t>
        </is>
      </c>
      <c r="F700" s="4" t="inlineStr">
        <is>
          <t>Sherry Lloyd</t>
        </is>
      </c>
      <c r="G700" s="5" t="n">
        <v>25500</v>
      </c>
      <c r="H700" s="5" t="n">
        <v>11801.4</v>
      </c>
      <c r="I700" s="5" t="n">
        <v>4418.43</v>
      </c>
      <c r="J700" s="5" t="n">
        <v>17926.43</v>
      </c>
      <c r="K700" s="5" t="n">
        <v>15639.32</v>
      </c>
      <c r="L700" s="5" t="n">
        <v>2287.11</v>
      </c>
      <c r="M700" s="5" t="n">
        <v>8296.030000000001</v>
      </c>
      <c r="N700" s="5" t="n">
        <v>9630.4</v>
      </c>
      <c r="O700" s="5" t="n">
        <v>7343.289999999999</v>
      </c>
      <c r="P700" s="4" t="n"/>
      <c r="Q700" s="6" t="n">
        <v>0.463</v>
      </c>
      <c r="R700" s="6" t="n">
        <v>0.4628</v>
      </c>
    </row>
    <row r="701">
      <c r="A701" s="4" t="inlineStr">
        <is>
          <t>26-PC-38304</t>
        </is>
      </c>
      <c r="B701" s="4" t="inlineStr">
        <is>
          <t>Yarrow Point Cultural Resources Assessment</t>
        </is>
      </c>
      <c r="C701" s="4" t="inlineStr">
        <is>
          <t>In Progress</t>
        </is>
      </c>
      <c r="D701" s="4" t="inlineStr">
        <is>
          <t>Time and material</t>
        </is>
      </c>
      <c r="E701" s="4" t="inlineStr">
        <is>
          <t>Prairie</t>
        </is>
      </c>
      <c r="F701" s="4" t="inlineStr">
        <is>
          <t>Sherry Lloyd</t>
        </is>
      </c>
      <c r="G701" s="5" t="n">
        <v>177100</v>
      </c>
      <c r="H701" s="5" t="n">
        <v>0</v>
      </c>
      <c r="I701" s="5" t="n">
        <v>0</v>
      </c>
      <c r="J701" s="5" t="n">
        <v>125191.99</v>
      </c>
      <c r="K701" s="5" t="n">
        <v>125191.99</v>
      </c>
      <c r="L701" s="5" t="n">
        <v>0</v>
      </c>
      <c r="M701" s="5" t="n">
        <v>0</v>
      </c>
      <c r="N701" s="5" t="n">
        <v>125191.99</v>
      </c>
      <c r="O701" s="5" t="n">
        <v>125191.99</v>
      </c>
      <c r="P701" s="4" t="n"/>
      <c r="Q701" s="6" t="n">
        <v>0</v>
      </c>
      <c r="R701" s="6" t="n">
        <v>0</v>
      </c>
    </row>
    <row r="702">
      <c r="A702" s="4" t="inlineStr">
        <is>
          <t>26-PC-38315</t>
        </is>
      </c>
      <c r="B702" s="4" t="inlineStr">
        <is>
          <t>Task Order 21: Larkspur Bridge Replacement Paleontological Monitoring</t>
        </is>
      </c>
      <c r="C702" s="4" t="inlineStr">
        <is>
          <t>Final Reporting/Review</t>
        </is>
      </c>
      <c r="D702" s="4" t="inlineStr">
        <is>
          <t>Fixed fee</t>
        </is>
      </c>
      <c r="E702" s="4" t="inlineStr">
        <is>
          <t>Prairie</t>
        </is>
      </c>
      <c r="F702" s="4" t="inlineStr">
        <is>
          <t>Sherry Lloyd</t>
        </is>
      </c>
      <c r="G702" s="5" t="n">
        <v>735000</v>
      </c>
      <c r="H702" s="5" t="n">
        <v>41601</v>
      </c>
      <c r="I702" s="5" t="n">
        <v>41601</v>
      </c>
      <c r="J702" s="5" t="n">
        <v>578298</v>
      </c>
      <c r="K702" s="5" t="n">
        <v>578298</v>
      </c>
      <c r="L702" s="5" t="n">
        <v>0</v>
      </c>
      <c r="M702" s="5" t="n">
        <v>32709.7</v>
      </c>
      <c r="N702" s="5" t="n">
        <v>545588.3</v>
      </c>
      <c r="O702" s="5" t="n">
        <v>545588.3</v>
      </c>
      <c r="P702" s="4" t="n"/>
      <c r="Q702" s="6" t="n">
        <v>0.057</v>
      </c>
      <c r="R702" s="6" t="n">
        <v>0.0566</v>
      </c>
    </row>
    <row r="703">
      <c r="A703" s="4" t="inlineStr">
        <is>
          <t>26-PC-38367</t>
        </is>
      </c>
      <c r="B703" s="4" t="inlineStr">
        <is>
          <t>Stone Mill Architectural History Survey</t>
        </is>
      </c>
      <c r="C703" s="4" t="inlineStr">
        <is>
          <t>In Progress</t>
        </is>
      </c>
      <c r="D703" s="4" t="inlineStr">
        <is>
          <t>Time and material</t>
        </is>
      </c>
      <c r="E703" s="4" t="inlineStr">
        <is>
          <t>Prairie</t>
        </is>
      </c>
      <c r="F703" s="4" t="inlineStr">
        <is>
          <t>Sherry Lloyd</t>
        </is>
      </c>
      <c r="G703" s="5" t="n">
        <v>416500</v>
      </c>
      <c r="H703" s="5" t="n">
        <v>110801</v>
      </c>
      <c r="I703" s="5" t="n">
        <v>73148.86</v>
      </c>
      <c r="J703" s="5" t="n">
        <v>276097.85</v>
      </c>
      <c r="K703" s="5" t="n">
        <v>276097.85</v>
      </c>
      <c r="L703" s="5" t="n">
        <v>0</v>
      </c>
      <c r="M703" s="5" t="n">
        <v>80601.22</v>
      </c>
      <c r="N703" s="5" t="n">
        <v>195496.63</v>
      </c>
      <c r="O703" s="5" t="n">
        <v>195496.63</v>
      </c>
      <c r="P703" s="4" t="n"/>
      <c r="Q703" s="6" t="n">
        <v>0.266</v>
      </c>
      <c r="R703" s="6" t="n">
        <v>0.2919</v>
      </c>
    </row>
    <row r="704">
      <c r="A704" s="4" t="inlineStr">
        <is>
          <t>26-PC-38387</t>
        </is>
      </c>
      <c r="B704" s="4" t="inlineStr">
        <is>
          <t>Granite Pass Section 106 Consultation</t>
        </is>
      </c>
      <c r="C704" s="4" t="inlineStr">
        <is>
          <t>In Progress</t>
        </is>
      </c>
      <c r="D704" s="4" t="inlineStr">
        <is>
          <t>Time and material</t>
        </is>
      </c>
      <c r="E704" s="4" t="inlineStr">
        <is>
          <t>Prairie</t>
        </is>
      </c>
      <c r="F704" s="4" t="inlineStr">
        <is>
          <t>Sherry Lloyd</t>
        </is>
      </c>
      <c r="G704" s="5" t="n">
        <v>182500</v>
      </c>
      <c r="H704" s="5" t="n">
        <v>92777.25</v>
      </c>
      <c r="I704" s="5" t="n">
        <v>89223.77</v>
      </c>
      <c r="J704" s="5" t="n">
        <v>120358.75</v>
      </c>
      <c r="K704" s="5" t="n">
        <v>120358.75</v>
      </c>
      <c r="L704" s="5" t="n">
        <v>0</v>
      </c>
      <c r="M704" s="5" t="n">
        <v>52528.86</v>
      </c>
      <c r="N704" s="5" t="n">
        <v>67829.89</v>
      </c>
      <c r="O704" s="5" t="n">
        <v>67829.89</v>
      </c>
      <c r="P704" s="4" t="n"/>
      <c r="Q704" s="6" t="n">
        <v>0.508</v>
      </c>
      <c r="R704" s="6" t="n">
        <v>0.4364</v>
      </c>
    </row>
    <row r="705">
      <c r="A705" s="4" t="inlineStr">
        <is>
          <t>26-PC-38390</t>
        </is>
      </c>
      <c r="B705" s="4" t="inlineStr">
        <is>
          <t>Redbud Curation</t>
        </is>
      </c>
      <c r="C705" s="4" t="inlineStr">
        <is>
          <t>Final Reporting/Review</t>
        </is>
      </c>
      <c r="D705" s="4" t="inlineStr">
        <is>
          <t>Fixed fee</t>
        </is>
      </c>
      <c r="E705" s="4" t="inlineStr">
        <is>
          <t>Prairie</t>
        </is>
      </c>
      <c r="F705" s="4" t="inlineStr">
        <is>
          <t>Sherry Lloyd</t>
        </is>
      </c>
      <c r="G705" s="5" t="n">
        <v>85100</v>
      </c>
      <c r="H705" s="5" t="n">
        <v>2101.97</v>
      </c>
      <c r="I705" s="5" t="n">
        <v>436.07</v>
      </c>
      <c r="J705" s="5" t="n">
        <v>53630.02</v>
      </c>
      <c r="K705" s="5" t="n">
        <v>53630.02</v>
      </c>
      <c r="L705" s="5" t="n">
        <v>0</v>
      </c>
      <c r="M705" s="5" t="n">
        <v>1324.1</v>
      </c>
      <c r="N705" s="5" t="n">
        <v>52305.92</v>
      </c>
      <c r="O705" s="5" t="n">
        <v>52305.92</v>
      </c>
      <c r="P705" s="4" t="n"/>
      <c r="Q705" s="6" t="n">
        <v>0.025</v>
      </c>
      <c r="R705" s="6" t="n">
        <v>0.0247</v>
      </c>
    </row>
    <row r="706">
      <c r="A706" s="4" t="inlineStr">
        <is>
          <t>26-PC-38410</t>
        </is>
      </c>
      <c r="B706" s="4" t="inlineStr">
        <is>
          <t>On-Call: Tamarack Park Improvements Class III Survey</t>
        </is>
      </c>
      <c r="C706" s="4" t="inlineStr">
        <is>
          <t>In Progress</t>
        </is>
      </c>
      <c r="D706" s="4" t="inlineStr">
        <is>
          <t>Time and material</t>
        </is>
      </c>
      <c r="E706" s="4" t="inlineStr">
        <is>
          <t>Prairie</t>
        </is>
      </c>
      <c r="F706" s="4" t="inlineStr">
        <is>
          <t>Sherry Lloyd</t>
        </is>
      </c>
      <c r="G706" s="5" t="n">
        <v>48300</v>
      </c>
      <c r="H706" s="5" t="n">
        <v>38345.25</v>
      </c>
      <c r="I706" s="5" t="n">
        <v>38154.33</v>
      </c>
      <c r="J706" s="5" t="n">
        <v>32887.47</v>
      </c>
      <c r="K706" s="5" t="n">
        <v>32887.47</v>
      </c>
      <c r="L706" s="5" t="n">
        <v>0</v>
      </c>
      <c r="M706" s="5" t="n">
        <v>24978.26</v>
      </c>
      <c r="N706" s="5" t="n">
        <v>7909.210000000003</v>
      </c>
      <c r="O706" s="5" t="n">
        <v>7909.210000000003</v>
      </c>
      <c r="P706" s="4" t="n"/>
      <c r="Q706" s="6" t="n">
        <v>0.794</v>
      </c>
      <c r="R706" s="6" t="n">
        <v>0.7595</v>
      </c>
    </row>
    <row r="707">
      <c r="A707" s="4" t="inlineStr">
        <is>
          <t>26-PC-38438</t>
        </is>
      </c>
      <c r="B707" s="4" t="inlineStr">
        <is>
          <t>Slate Ridge Fiber Route Phase I Survey</t>
        </is>
      </c>
      <c r="C707" s="4" t="inlineStr">
        <is>
          <t>In Progress</t>
        </is>
      </c>
      <c r="D707" s="4" t="inlineStr">
        <is>
          <t>Fixed fee</t>
        </is>
      </c>
      <c r="E707" s="4" t="inlineStr">
        <is>
          <t>Prairie</t>
        </is>
      </c>
      <c r="F707" s="4" t="inlineStr">
        <is>
          <t>Sherry Lloyd</t>
        </is>
      </c>
      <c r="G707" s="5" t="n">
        <v>41000</v>
      </c>
      <c r="H707" s="5" t="n">
        <v>0</v>
      </c>
      <c r="I707" s="5" t="n">
        <v>0</v>
      </c>
      <c r="J707" s="5" t="n">
        <v>32762.53</v>
      </c>
      <c r="K707" s="5" t="n">
        <v>25331.09</v>
      </c>
      <c r="L707" s="5" t="n">
        <v>7431.44</v>
      </c>
      <c r="M707" s="5" t="n">
        <v>0</v>
      </c>
      <c r="N707" s="5" t="n">
        <v>32762.53</v>
      </c>
      <c r="O707" s="5" t="n">
        <v>25331.09</v>
      </c>
      <c r="P707" s="4" t="n"/>
      <c r="Q707" s="6" t="n">
        <v>0</v>
      </c>
      <c r="R707" s="6" t="n">
        <v>0</v>
      </c>
    </row>
    <row r="708">
      <c r="A708" s="4" t="inlineStr">
        <is>
          <t>26-PC-38573</t>
        </is>
      </c>
      <c r="B708" s="4" t="inlineStr">
        <is>
          <t>Cedar Hollow School Campus - Class III Survey</t>
        </is>
      </c>
      <c r="C708" s="4" t="inlineStr">
        <is>
          <t>In Progress</t>
        </is>
      </c>
      <c r="D708" s="4" t="inlineStr">
        <is>
          <t>Fixed fee</t>
        </is>
      </c>
      <c r="E708" s="4" t="inlineStr">
        <is>
          <t>Red Rock</t>
        </is>
      </c>
      <c r="F708" s="4" t="inlineStr">
        <is>
          <t>Marisa Odom</t>
        </is>
      </c>
      <c r="G708" s="5" t="n">
        <v>100100</v>
      </c>
      <c r="H708" s="5" t="n">
        <v>1111.11</v>
      </c>
      <c r="I708" s="5" t="n">
        <v>405.7</v>
      </c>
      <c r="J708" s="5" t="n">
        <v>74784.71000000001</v>
      </c>
      <c r="K708" s="5" t="n">
        <v>74784.71000000001</v>
      </c>
      <c r="L708" s="5" t="n">
        <v>0</v>
      </c>
      <c r="M708" s="5" t="n">
        <v>833.24</v>
      </c>
      <c r="N708" s="5" t="n">
        <v>73951.47</v>
      </c>
      <c r="O708" s="5" t="n">
        <v>73951.47</v>
      </c>
      <c r="P708" s="4" t="n"/>
      <c r="Q708" s="6" t="n">
        <v>0.011</v>
      </c>
      <c r="R708" s="6" t="n">
        <v>0.0111</v>
      </c>
    </row>
    <row r="709">
      <c r="A709" s="4" t="inlineStr">
        <is>
          <t>26-PC-38624</t>
        </is>
      </c>
      <c r="B709" s="4" t="inlineStr">
        <is>
          <t>Juniper Wash Built Environment Survey</t>
        </is>
      </c>
      <c r="C709" s="4" t="inlineStr">
        <is>
          <t>Cost Tracking on Closed Project</t>
        </is>
      </c>
      <c r="D709" s="4" t="inlineStr">
        <is>
          <t>Fixed fee</t>
        </is>
      </c>
      <c r="E709" s="4" t="inlineStr">
        <is>
          <t>Red Rock</t>
        </is>
      </c>
      <c r="F709" s="4" t="inlineStr">
        <is>
          <t>Bruce Suarez</t>
        </is>
      </c>
      <c r="G709" s="5" t="n">
        <v>77900</v>
      </c>
      <c r="H709" s="5" t="n">
        <v>77900</v>
      </c>
      <c r="I709" s="5" t="n">
        <v>77900</v>
      </c>
      <c r="J709" s="5" t="n">
        <v>56578.77</v>
      </c>
      <c r="K709" s="5" t="n">
        <v>56578.77</v>
      </c>
      <c r="L709" s="5" t="n">
        <v>0</v>
      </c>
      <c r="M709" s="5" t="n">
        <v>73552.39999999999</v>
      </c>
      <c r="N709" s="5" t="n">
        <v>-16973.63</v>
      </c>
      <c r="O709" s="5" t="n">
        <v>-16973.63</v>
      </c>
      <c r="P709" s="4" t="n"/>
      <c r="Q709" s="6" t="n">
        <v>1</v>
      </c>
      <c r="R709" s="6" t="n">
        <v>1.3</v>
      </c>
    </row>
    <row r="710">
      <c r="A710" s="4" t="inlineStr">
        <is>
          <t>26-PC-38647</t>
        </is>
      </c>
      <c r="B710" s="4" t="inlineStr">
        <is>
          <t>Meadowlark Cultural Resources Assessment</t>
        </is>
      </c>
      <c r="C710" s="4" t="inlineStr">
        <is>
          <t>In Progress</t>
        </is>
      </c>
      <c r="D710" s="4" t="inlineStr">
        <is>
          <t>Time and material</t>
        </is>
      </c>
      <c r="E710" s="4" t="inlineStr">
        <is>
          <t>Red Rock</t>
        </is>
      </c>
      <c r="F710" s="4" t="inlineStr">
        <is>
          <t>Bruce Suarez</t>
        </is>
      </c>
      <c r="G710" s="5" t="n">
        <v>793800</v>
      </c>
      <c r="H710" s="5" t="n">
        <v>281862.75</v>
      </c>
      <c r="I710" s="5" t="n">
        <v>232307.63</v>
      </c>
      <c r="J710" s="5" t="n">
        <v>517795.74</v>
      </c>
      <c r="K710" s="5" t="n">
        <v>517795.74</v>
      </c>
      <c r="L710" s="5" t="n">
        <v>0</v>
      </c>
      <c r="M710" s="5" t="n">
        <v>177498.27</v>
      </c>
      <c r="N710" s="5" t="n">
        <v>340297.47</v>
      </c>
      <c r="O710" s="5" t="n">
        <v>340297.47</v>
      </c>
      <c r="P710" s="4" t="n"/>
      <c r="Q710" s="6" t="n">
        <v>0.355</v>
      </c>
      <c r="R710" s="6" t="n">
        <v>0.3428</v>
      </c>
    </row>
    <row r="711">
      <c r="A711" s="4" t="inlineStr">
        <is>
          <t>26-PC-38675</t>
        </is>
      </c>
      <c r="B711" s="4" t="inlineStr">
        <is>
          <t>On-Call: Lone Pine School Campus Data Recovery</t>
        </is>
      </c>
      <c r="C711" s="4" t="inlineStr">
        <is>
          <t>Final Reporting/Review</t>
        </is>
      </c>
      <c r="D711" s="4" t="inlineStr">
        <is>
          <t>Fixed fee</t>
        </is>
      </c>
      <c r="E711" s="4" t="inlineStr">
        <is>
          <t>Red Rock</t>
        </is>
      </c>
      <c r="F711" s="4" t="inlineStr">
        <is>
          <t>Jeanette Chung</t>
        </is>
      </c>
      <c r="G711" s="5" t="n">
        <v>289700</v>
      </c>
      <c r="H711" s="5" t="n">
        <v>84476.52</v>
      </c>
      <c r="I711" s="5" t="n">
        <v>82918.83</v>
      </c>
      <c r="J711" s="5" t="n">
        <v>228167.72</v>
      </c>
      <c r="K711" s="5" t="n">
        <v>228167.72</v>
      </c>
      <c r="L711" s="5" t="n">
        <v>0</v>
      </c>
      <c r="M711" s="5" t="n">
        <v>66526.14</v>
      </c>
      <c r="N711" s="5" t="n">
        <v>161641.58</v>
      </c>
      <c r="O711" s="5" t="n">
        <v>161641.58</v>
      </c>
      <c r="P711" s="4" t="n"/>
      <c r="Q711" s="6" t="n">
        <v>0.292</v>
      </c>
      <c r="R711" s="6" t="n">
        <v>0.2916</v>
      </c>
    </row>
    <row r="712">
      <c r="A712" s="4" t="inlineStr">
        <is>
          <t>26-PC-38709</t>
        </is>
      </c>
      <c r="B712" s="4" t="inlineStr">
        <is>
          <t>Timber Gap Airport Apron Phase I Survey</t>
        </is>
      </c>
      <c r="C712" s="4" t="inlineStr">
        <is>
          <t>In Progress</t>
        </is>
      </c>
      <c r="D712" s="4" t="inlineStr">
        <is>
          <t>Fixed fee</t>
        </is>
      </c>
      <c r="E712" s="4" t="inlineStr">
        <is>
          <t>Red Rock</t>
        </is>
      </c>
      <c r="F712" s="4" t="inlineStr">
        <is>
          <t>Bruce Suarez</t>
        </is>
      </c>
      <c r="G712" s="5" t="n">
        <v>14100</v>
      </c>
      <c r="H712" s="5" t="n">
        <v>6839.91</v>
      </c>
      <c r="I712" s="5" t="n">
        <v>6778.98</v>
      </c>
      <c r="J712" s="5" t="n">
        <v>11415.36</v>
      </c>
      <c r="K712" s="5" t="n">
        <v>11415.36</v>
      </c>
      <c r="L712" s="5" t="n">
        <v>0</v>
      </c>
      <c r="M712" s="5" t="n">
        <v>5537.78</v>
      </c>
      <c r="N712" s="5" t="n">
        <v>5877.580000000001</v>
      </c>
      <c r="O712" s="5" t="n">
        <v>5877.580000000001</v>
      </c>
      <c r="P712" s="4" t="n"/>
      <c r="Q712" s="6" t="n">
        <v>0.485</v>
      </c>
      <c r="R712" s="6" t="n">
        <v>0.4851</v>
      </c>
    </row>
    <row r="713">
      <c r="A713" s="4" t="inlineStr">
        <is>
          <t>26-PC-38719</t>
        </is>
      </c>
      <c r="B713" s="4" t="inlineStr">
        <is>
          <t>Willow Springs Housing Development - Environmental Review Support</t>
        </is>
      </c>
      <c r="C713" s="4" t="inlineStr">
        <is>
          <t>In Progress</t>
        </is>
      </c>
      <c r="D713" s="4" t="inlineStr">
        <is>
          <t>Fixed fee</t>
        </is>
      </c>
      <c r="E713" s="4" t="inlineStr">
        <is>
          <t>Red Rock</t>
        </is>
      </c>
      <c r="F713" s="4" t="inlineStr">
        <is>
          <t>Javier Newman</t>
        </is>
      </c>
      <c r="G713" s="5" t="n">
        <v>298600</v>
      </c>
      <c r="H713" s="5" t="n">
        <v>1552.72</v>
      </c>
      <c r="I713" s="5" t="n">
        <v>1508.75</v>
      </c>
      <c r="J713" s="5" t="n">
        <v>193522.66</v>
      </c>
      <c r="K713" s="5" t="n">
        <v>193522.66</v>
      </c>
      <c r="L713" s="5" t="n">
        <v>0</v>
      </c>
      <c r="M713" s="5" t="n">
        <v>1014.83</v>
      </c>
      <c r="N713" s="5" t="n">
        <v>192507.83</v>
      </c>
      <c r="O713" s="5" t="n">
        <v>192507.83</v>
      </c>
      <c r="P713" s="4" t="n"/>
      <c r="Q713" s="6" t="n">
        <v>0.005</v>
      </c>
      <c r="R713" s="6" t="n">
        <v>0.0052</v>
      </c>
    </row>
    <row r="714">
      <c r="A714" s="4" t="inlineStr">
        <is>
          <t>26-PC-38737</t>
        </is>
      </c>
      <c r="B714" s="4" t="inlineStr">
        <is>
          <t>Pebble Beach Road Wind Farm Historic Resources Evaluation</t>
        </is>
      </c>
      <c r="C714" s="4" t="inlineStr">
        <is>
          <t>In Progress</t>
        </is>
      </c>
      <c r="D714" s="4" t="inlineStr">
        <is>
          <t>Time and material</t>
        </is>
      </c>
      <c r="E714" s="4" t="inlineStr">
        <is>
          <t>Red Rock</t>
        </is>
      </c>
      <c r="F714" s="4" t="inlineStr">
        <is>
          <t>Tina Aguirre</t>
        </is>
      </c>
      <c r="G714" s="5" t="n">
        <v>97700</v>
      </c>
      <c r="H714" s="5" t="n">
        <v>97700</v>
      </c>
      <c r="I714" s="5" t="n">
        <v>80334.37</v>
      </c>
      <c r="J714" s="5" t="n">
        <v>60828.02</v>
      </c>
      <c r="K714" s="5" t="n">
        <v>60828.02</v>
      </c>
      <c r="L714" s="5" t="n">
        <v>0</v>
      </c>
      <c r="M714" s="5" t="n">
        <v>76641.91</v>
      </c>
      <c r="N714" s="5" t="n">
        <v>-15813.89000000001</v>
      </c>
      <c r="O714" s="5" t="n">
        <v>-15813.89000000001</v>
      </c>
      <c r="P714" s="4" t="n"/>
      <c r="Q714" s="6" t="n">
        <v>1</v>
      </c>
      <c r="R714" s="6" t="n">
        <v>1.26</v>
      </c>
    </row>
    <row r="715">
      <c r="A715" s="4" t="inlineStr">
        <is>
          <t>26-PC-38898</t>
        </is>
      </c>
      <c r="B715" s="4" t="inlineStr">
        <is>
          <t>Redbud Rail Siding - Maritime Remote Sensing Survey</t>
        </is>
      </c>
      <c r="C715" s="4" t="inlineStr">
        <is>
          <t>In Progress</t>
        </is>
      </c>
      <c r="D715" s="4" t="inlineStr">
        <is>
          <t>Fixed fee</t>
        </is>
      </c>
      <c r="E715" s="4" t="inlineStr">
        <is>
          <t>Red Rock</t>
        </is>
      </c>
      <c r="F715" s="4" t="inlineStr">
        <is>
          <t>Bruce Suarez</t>
        </is>
      </c>
      <c r="G715" s="5" t="n">
        <v>150100</v>
      </c>
      <c r="H715" s="5" t="n">
        <v>36234.14</v>
      </c>
      <c r="I715" s="5" t="n">
        <v>19826.4</v>
      </c>
      <c r="J715" s="5" t="n">
        <v>87478.28</v>
      </c>
      <c r="K715" s="5" t="n">
        <v>87478.28</v>
      </c>
      <c r="L715" s="5" t="n">
        <v>0</v>
      </c>
      <c r="M715" s="5" t="n">
        <v>21117.75</v>
      </c>
      <c r="N715" s="5" t="n">
        <v>66360.53</v>
      </c>
      <c r="O715" s="5" t="n">
        <v>66360.53</v>
      </c>
      <c r="P715" s="4" t="n"/>
      <c r="Q715" s="6" t="n">
        <v>0.241</v>
      </c>
      <c r="R715" s="6" t="n">
        <v>0.2414</v>
      </c>
    </row>
    <row r="716">
      <c r="A716" s="4" t="inlineStr">
        <is>
          <t>26-PC-38924</t>
        </is>
      </c>
      <c r="B716" s="4" t="inlineStr">
        <is>
          <t>Wildrye Harbor Dredging - Architectural History Survey</t>
        </is>
      </c>
      <c r="C716" s="4" t="inlineStr">
        <is>
          <t>In Progress</t>
        </is>
      </c>
      <c r="D716" s="4" t="inlineStr">
        <is>
          <t>Time and material</t>
        </is>
      </c>
      <c r="E716" s="4" t="inlineStr">
        <is>
          <t>Red Rock</t>
        </is>
      </c>
      <c r="F716" s="4" t="inlineStr">
        <is>
          <t>Shelia Horne</t>
        </is>
      </c>
      <c r="G716" s="5" t="n">
        <v>117200</v>
      </c>
      <c r="H716" s="5" t="n">
        <v>64940</v>
      </c>
      <c r="I716" s="5" t="n">
        <v>57207.78</v>
      </c>
      <c r="J716" s="5" t="n">
        <v>83798</v>
      </c>
      <c r="K716" s="5" t="n">
        <v>83798</v>
      </c>
      <c r="L716" s="5" t="n">
        <v>0</v>
      </c>
      <c r="M716" s="5" t="n">
        <v>43360.21</v>
      </c>
      <c r="N716" s="5" t="n">
        <v>40437.79</v>
      </c>
      <c r="O716" s="5" t="n">
        <v>40437.79</v>
      </c>
      <c r="P716" s="4" t="n"/>
      <c r="Q716" s="6" t="n">
        <v>0.554</v>
      </c>
      <c r="R716" s="6" t="n">
        <v>0.5174</v>
      </c>
    </row>
    <row r="717">
      <c r="A717" s="4" t="inlineStr">
        <is>
          <t>26-PC-38943</t>
        </is>
      </c>
      <c r="B717" s="4" t="inlineStr">
        <is>
          <t>Task Order 34: Fern Valley Wastewater Plant Archaeological Testing</t>
        </is>
      </c>
      <c r="C717" s="4" t="inlineStr">
        <is>
          <t>In Progress</t>
        </is>
      </c>
      <c r="D717" s="4" t="inlineStr">
        <is>
          <t>Fixed fee</t>
        </is>
      </c>
      <c r="E717" s="4" t="inlineStr">
        <is>
          <t>Red Rock</t>
        </is>
      </c>
      <c r="F717" s="4" t="inlineStr">
        <is>
          <t>Marisa Odom</t>
        </is>
      </c>
      <c r="G717" s="5" t="n">
        <v>129100</v>
      </c>
      <c r="H717" s="5" t="n">
        <v>110303.04</v>
      </c>
      <c r="I717" s="5" t="n">
        <v>95459.09</v>
      </c>
      <c r="J717" s="5" t="n">
        <v>80272.12</v>
      </c>
      <c r="K717" s="5" t="n">
        <v>59881.52</v>
      </c>
      <c r="L717" s="5" t="n">
        <v>20390.6</v>
      </c>
      <c r="M717" s="5" t="n">
        <v>68583.92</v>
      </c>
      <c r="N717" s="5" t="n">
        <v>11688.2</v>
      </c>
      <c r="O717" s="5" t="n">
        <v>-8702.400000000001</v>
      </c>
      <c r="P717" s="4" t="n"/>
      <c r="Q717" s="6" t="n">
        <v>0.854</v>
      </c>
      <c r="R717" s="6" t="n">
        <v>0.8544</v>
      </c>
    </row>
    <row r="718">
      <c r="A718" s="4" t="inlineStr">
        <is>
          <t>26-PC-38966</t>
        </is>
      </c>
      <c r="B718" s="4" t="inlineStr">
        <is>
          <t>Task Order 12: Bramble Creek Battery Storage Cultural Resources Monitoring</t>
        </is>
      </c>
      <c r="C718" s="4" t="inlineStr">
        <is>
          <t>In Progress</t>
        </is>
      </c>
      <c r="D718" s="4" t="inlineStr">
        <is>
          <t>Fixed fee</t>
        </is>
      </c>
      <c r="E718" s="4" t="inlineStr">
        <is>
          <t>Red Rock</t>
        </is>
      </c>
      <c r="F718" s="4" t="inlineStr">
        <is>
          <t>Bruce Suarez</t>
        </is>
      </c>
      <c r="G718" s="5" t="n">
        <v>269400</v>
      </c>
      <c r="H718" s="5" t="n">
        <v>11988.3</v>
      </c>
      <c r="I718" s="5" t="n">
        <v>7999.35</v>
      </c>
      <c r="J718" s="5" t="n">
        <v>193052.04</v>
      </c>
      <c r="K718" s="5" t="n">
        <v>193052.04</v>
      </c>
      <c r="L718" s="5" t="n">
        <v>0</v>
      </c>
      <c r="M718" s="5" t="n">
        <v>8599.9</v>
      </c>
      <c r="N718" s="5" t="n">
        <v>184452.14</v>
      </c>
      <c r="O718" s="5" t="n">
        <v>184452.14</v>
      </c>
      <c r="P718" s="4" t="n"/>
      <c r="Q718" s="6" t="n">
        <v>0.044</v>
      </c>
      <c r="R718" s="6" t="n">
        <v>0.0445</v>
      </c>
    </row>
    <row r="719">
      <c r="A719" s="4" t="inlineStr">
        <is>
          <t>26-PC-38993</t>
        </is>
      </c>
      <c r="B719" s="4" t="inlineStr">
        <is>
          <t>Willow Springs Airport Apron - Section 106 Consultation</t>
        </is>
      </c>
      <c r="C719" s="4" t="inlineStr">
        <is>
          <t>In Progress</t>
        </is>
      </c>
      <c r="D719" s="4" t="inlineStr">
        <is>
          <t>Time and material</t>
        </is>
      </c>
      <c r="E719" s="4" t="inlineStr">
        <is>
          <t>Red Rock</t>
        </is>
      </c>
      <c r="F719" s="4" t="inlineStr">
        <is>
          <t>Lydia Cisneros</t>
        </is>
      </c>
      <c r="G719" s="5" t="n">
        <v>201400</v>
      </c>
      <c r="H719" s="5" t="n">
        <v>57707.5</v>
      </c>
      <c r="I719" s="5" t="n">
        <v>50428.33</v>
      </c>
      <c r="J719" s="5" t="n">
        <v>131514.2</v>
      </c>
      <c r="K719" s="5" t="n">
        <v>131514.2</v>
      </c>
      <c r="L719" s="5" t="n">
        <v>0</v>
      </c>
      <c r="M719" s="5" t="n">
        <v>37610.38</v>
      </c>
      <c r="N719" s="5" t="n">
        <v>93903.82000000001</v>
      </c>
      <c r="O719" s="5" t="n">
        <v>93903.82000000001</v>
      </c>
      <c r="P719" s="4" t="n"/>
      <c r="Q719" s="6" t="n">
        <v>0.287</v>
      </c>
      <c r="R719" s="6" t="n">
        <v>0.286</v>
      </c>
    </row>
    <row r="720">
      <c r="A720" s="4" t="inlineStr">
        <is>
          <t>26-PC-39024</t>
        </is>
      </c>
      <c r="B720" s="4" t="inlineStr">
        <is>
          <t>On-Call: Goldfinch Water Main Phase I Survey</t>
        </is>
      </c>
      <c r="C720" s="4" t="inlineStr">
        <is>
          <t>In Progress</t>
        </is>
      </c>
      <c r="D720" s="4" t="inlineStr">
        <is>
          <t>Time and material</t>
        </is>
      </c>
      <c r="E720" s="4" t="inlineStr">
        <is>
          <t>Red Rock</t>
        </is>
      </c>
      <c r="F720" s="4" t="inlineStr">
        <is>
          <t>Marisa Odom</t>
        </is>
      </c>
      <c r="G720" s="5" t="n">
        <v>211800</v>
      </c>
      <c r="H720" s="5" t="n">
        <v>7879</v>
      </c>
      <c r="I720" s="5" t="n">
        <v>1334.82</v>
      </c>
      <c r="J720" s="5" t="n">
        <v>149416.47</v>
      </c>
      <c r="K720" s="5" t="n">
        <v>113681.55</v>
      </c>
      <c r="L720" s="5" t="n">
        <v>35734.92</v>
      </c>
      <c r="M720" s="5" t="n">
        <v>5901.64</v>
      </c>
      <c r="N720" s="5" t="n">
        <v>143514.83</v>
      </c>
      <c r="O720" s="5" t="n">
        <v>107779.91</v>
      </c>
      <c r="P720" s="4" t="n"/>
      <c r="Q720" s="6" t="n">
        <v>0.037</v>
      </c>
      <c r="R720" s="6" t="n">
        <v>0.0395</v>
      </c>
    </row>
    <row r="721">
      <c r="A721" s="4" t="inlineStr">
        <is>
          <t>26-PC-39043</t>
        </is>
      </c>
      <c r="B721" s="4" t="inlineStr">
        <is>
          <t>Twin Buttes Reservoir - Archaeological Testing</t>
        </is>
      </c>
      <c r="C721" s="4" t="inlineStr">
        <is>
          <t>In Progress</t>
        </is>
      </c>
      <c r="D721" s="4" t="inlineStr">
        <is>
          <t>Fixed fee</t>
        </is>
      </c>
      <c r="E721" s="4" t="inlineStr">
        <is>
          <t>Red Rock</t>
        </is>
      </c>
      <c r="F721" s="4" t="inlineStr">
        <is>
          <t>Bruce Suarez</t>
        </is>
      </c>
      <c r="G721" s="5" t="n">
        <v>123200</v>
      </c>
      <c r="H721" s="5" t="n">
        <v>19736.64</v>
      </c>
      <c r="I721" s="5" t="n">
        <v>14790.45</v>
      </c>
      <c r="J721" s="5" t="n">
        <v>96884.48</v>
      </c>
      <c r="K721" s="5" t="n">
        <v>96884.48</v>
      </c>
      <c r="L721" s="5" t="n">
        <v>0</v>
      </c>
      <c r="M721" s="5" t="n">
        <v>15516.2</v>
      </c>
      <c r="N721" s="5" t="n">
        <v>81368.28</v>
      </c>
      <c r="O721" s="5" t="n">
        <v>81368.28</v>
      </c>
      <c r="P721" s="4" t="n"/>
      <c r="Q721" s="6" t="n">
        <v>0.16</v>
      </c>
      <c r="R721" s="6" t="n">
        <v>0.1602</v>
      </c>
    </row>
    <row r="722">
      <c r="A722" s="4" t="inlineStr">
        <is>
          <t>26-PC-39143</t>
        </is>
      </c>
      <c r="B722" s="4" t="inlineStr">
        <is>
          <t>Meadowlark Harbor Dredging Maritime Remote Sensing Survey</t>
        </is>
      </c>
      <c r="C722" s="4" t="inlineStr">
        <is>
          <t>In Progress</t>
        </is>
      </c>
      <c r="D722" s="4" t="inlineStr">
        <is>
          <t>Fixed fee</t>
        </is>
      </c>
      <c r="E722" s="4" t="inlineStr">
        <is>
          <t>Red Rock</t>
        </is>
      </c>
      <c r="F722" s="4" t="inlineStr">
        <is>
          <t>Bruce Suarez</t>
        </is>
      </c>
      <c r="G722" s="5" t="n">
        <v>500400</v>
      </c>
      <c r="H722" s="5" t="n">
        <v>5404.32</v>
      </c>
      <c r="I722" s="5" t="n">
        <v>3639.56</v>
      </c>
      <c r="J722" s="5" t="n">
        <v>366543</v>
      </c>
      <c r="K722" s="5" t="n">
        <v>366543</v>
      </c>
      <c r="L722" s="5" t="n">
        <v>0</v>
      </c>
      <c r="M722" s="5" t="n">
        <v>3965.11</v>
      </c>
      <c r="N722" s="5" t="n">
        <v>362577.89</v>
      </c>
      <c r="O722" s="5" t="n">
        <v>362577.89</v>
      </c>
      <c r="P722" s="4" t="n"/>
      <c r="Q722" s="6" t="n">
        <v>0.011</v>
      </c>
      <c r="R722" s="6" t="n">
        <v>0.0108</v>
      </c>
    </row>
    <row r="723">
      <c r="A723" s="4" t="inlineStr">
        <is>
          <t>26-PC-39165</t>
        </is>
      </c>
      <c r="B723" s="4" t="inlineStr">
        <is>
          <t>Pebble Beach Road Phase I Survey</t>
        </is>
      </c>
      <c r="C723" s="4" t="inlineStr">
        <is>
          <t>Final Reporting/Review</t>
        </is>
      </c>
      <c r="D723" s="4" t="inlineStr">
        <is>
          <t>Fixed fee</t>
        </is>
      </c>
      <c r="E723" s="4" t="inlineStr">
        <is>
          <t>Red Rock</t>
        </is>
      </c>
      <c r="F723" s="4" t="inlineStr">
        <is>
          <t>Tina Aguirre</t>
        </is>
      </c>
      <c r="G723" s="5" t="n">
        <v>94300</v>
      </c>
      <c r="H723" s="5" t="n">
        <v>87472.67999999999</v>
      </c>
      <c r="I723" s="5" t="n">
        <v>76455.85000000001</v>
      </c>
      <c r="J723" s="5" t="n">
        <v>63218.72</v>
      </c>
      <c r="K723" s="5" t="n">
        <v>63218.72</v>
      </c>
      <c r="L723" s="5" t="n">
        <v>0</v>
      </c>
      <c r="M723" s="5" t="n">
        <v>58643.27</v>
      </c>
      <c r="N723" s="5" t="n">
        <v>4575.450000000004</v>
      </c>
      <c r="O723" s="5" t="n">
        <v>4575.450000000004</v>
      </c>
      <c r="P723" s="4" t="n"/>
      <c r="Q723" s="6" t="n">
        <v>0.928</v>
      </c>
      <c r="R723" s="6" t="n">
        <v>0.9276</v>
      </c>
    </row>
    <row r="724">
      <c r="A724" s="4" t="inlineStr">
        <is>
          <t>26-PC-39230</t>
        </is>
      </c>
      <c r="B724" s="4" t="inlineStr">
        <is>
          <t>Maple Fork Cultural Resources Assessment</t>
        </is>
      </c>
      <c r="C724" s="4" t="inlineStr">
        <is>
          <t>In Progress</t>
        </is>
      </c>
      <c r="D724" s="4" t="inlineStr">
        <is>
          <t>Time and material</t>
        </is>
      </c>
      <c r="E724" s="4" t="inlineStr">
        <is>
          <t>Red Rock</t>
        </is>
      </c>
      <c r="F724" s="4" t="inlineStr">
        <is>
          <t>Bruce Suarez</t>
        </is>
      </c>
      <c r="G724" s="5" t="n">
        <v>575400</v>
      </c>
      <c r="H724" s="5" t="n">
        <v>64571.5</v>
      </c>
      <c r="I724" s="5" t="n">
        <v>42537.62</v>
      </c>
      <c r="J724" s="5" t="n">
        <v>432643.26</v>
      </c>
      <c r="K724" s="5" t="n">
        <v>432643.26</v>
      </c>
      <c r="L724" s="5" t="n">
        <v>0</v>
      </c>
      <c r="M724" s="5" t="n">
        <v>40379.79</v>
      </c>
      <c r="N724" s="5" t="n">
        <v>392263.47</v>
      </c>
      <c r="O724" s="5" t="n">
        <v>392263.47</v>
      </c>
      <c r="P724" s="4" t="n"/>
      <c r="Q724" s="6" t="n">
        <v>0.112</v>
      </c>
      <c r="R724" s="6" t="n">
        <v>0.09329999999999999</v>
      </c>
    </row>
    <row r="725">
      <c r="A725" s="4" t="inlineStr">
        <is>
          <t>26-PC-39249</t>
        </is>
      </c>
      <c r="B725" s="4" t="inlineStr">
        <is>
          <t>On-Call: Millbrook Levee Repair Maritime Remote Sensing Survey</t>
        </is>
      </c>
      <c r="C725" s="4" t="inlineStr">
        <is>
          <t>Final Reporting/Review</t>
        </is>
      </c>
      <c r="D725" s="4" t="inlineStr">
        <is>
          <t>Fixed fee</t>
        </is>
      </c>
      <c r="E725" s="4" t="inlineStr">
        <is>
          <t>Red Rock</t>
        </is>
      </c>
      <c r="F725" s="4" t="inlineStr">
        <is>
          <t>Tina Aguirre</t>
        </is>
      </c>
      <c r="G725" s="5" t="n">
        <v>126200</v>
      </c>
      <c r="H725" s="5" t="n">
        <v>0</v>
      </c>
      <c r="I725" s="5" t="n">
        <v>0</v>
      </c>
      <c r="J725" s="5" t="n">
        <v>95785.8</v>
      </c>
      <c r="K725" s="5" t="n">
        <v>95785.8</v>
      </c>
      <c r="L725" s="5" t="n">
        <v>0</v>
      </c>
      <c r="M725" s="5" t="n">
        <v>0</v>
      </c>
      <c r="N725" s="5" t="n">
        <v>95785.8</v>
      </c>
      <c r="O725" s="5" t="n">
        <v>95785.8</v>
      </c>
      <c r="P725" s="4" t="n"/>
      <c r="Q725" s="6" t="n">
        <v>0</v>
      </c>
      <c r="R725" s="6" t="n">
        <v>0</v>
      </c>
    </row>
    <row r="726">
      <c r="A726" s="4" t="inlineStr">
        <is>
          <t>26-PC-39277</t>
        </is>
      </c>
      <c r="B726" s="4" t="inlineStr">
        <is>
          <t>Larkspur Battery Storage Archaeological Testing</t>
        </is>
      </c>
      <c r="C726" s="4" t="inlineStr">
        <is>
          <t>Final Reporting/Review</t>
        </is>
      </c>
      <c r="D726" s="4" t="inlineStr">
        <is>
          <t>Fixed fee</t>
        </is>
      </c>
      <c r="E726" s="4" t="inlineStr">
        <is>
          <t>Red Rock</t>
        </is>
      </c>
      <c r="F726" s="4" t="inlineStr">
        <is>
          <t>Bruce Suarez</t>
        </is>
      </c>
      <c r="G726" s="5" t="n">
        <v>520900</v>
      </c>
      <c r="H726" s="5" t="n">
        <v>208.36</v>
      </c>
      <c r="I726" s="5" t="n">
        <v>42.86</v>
      </c>
      <c r="J726" s="5" t="n">
        <v>341710.4</v>
      </c>
      <c r="K726" s="5" t="n">
        <v>341710.4</v>
      </c>
      <c r="L726" s="5" t="n">
        <v>0</v>
      </c>
      <c r="M726" s="5" t="n">
        <v>124.3</v>
      </c>
      <c r="N726" s="5" t="n">
        <v>341586.1</v>
      </c>
      <c r="O726" s="5" t="n">
        <v>341586.1</v>
      </c>
      <c r="P726" s="4" t="n"/>
      <c r="Q726" s="6" t="n">
        <v>0</v>
      </c>
      <c r="R726" s="6" t="n">
        <v>0.0004</v>
      </c>
    </row>
    <row r="727">
      <c r="A727" s="4" t="inlineStr">
        <is>
          <t>26-PC-39303</t>
        </is>
      </c>
      <c r="B727" s="4" t="inlineStr">
        <is>
          <t>Maple Fork Wind Farm Historic Resources Evaluation</t>
        </is>
      </c>
      <c r="C727" s="4" t="inlineStr">
        <is>
          <t>Transferred Entity</t>
        </is>
      </c>
      <c r="D727" s="4" t="inlineStr">
        <is>
          <t>Fixed fee</t>
        </is>
      </c>
      <c r="E727" s="4" t="inlineStr">
        <is>
          <t>Red Rock</t>
        </is>
      </c>
      <c r="F727" s="4" t="inlineStr">
        <is>
          <t>Javier Newman</t>
        </is>
      </c>
      <c r="G727" s="5" t="n">
        <v>41200</v>
      </c>
      <c r="H727" s="5" t="n">
        <v>9488.360000000001</v>
      </c>
      <c r="I727" s="5" t="n">
        <v>5457.06</v>
      </c>
      <c r="J727" s="5" t="n">
        <v>35687.44</v>
      </c>
      <c r="K727" s="5" t="n">
        <v>35687.44</v>
      </c>
      <c r="L727" s="5" t="n">
        <v>0</v>
      </c>
      <c r="M727" s="5" t="n">
        <v>8218.459999999999</v>
      </c>
      <c r="N727" s="5" t="n">
        <v>27468.98</v>
      </c>
      <c r="O727" s="5" t="n">
        <v>27468.98</v>
      </c>
      <c r="P727" s="4" t="n"/>
      <c r="Q727" s="6" t="n">
        <v>0.23</v>
      </c>
      <c r="R727" s="6" t="n">
        <v>0.2303</v>
      </c>
    </row>
    <row r="728">
      <c r="A728" s="4" t="inlineStr">
        <is>
          <t>26-PC-39372</t>
        </is>
      </c>
      <c r="B728" s="4" t="inlineStr">
        <is>
          <t>Tamarack Environmental Review Support</t>
        </is>
      </c>
      <c r="C728" s="4" t="inlineStr">
        <is>
          <t>Lab/Curation</t>
        </is>
      </c>
      <c r="D728" s="4" t="inlineStr">
        <is>
          <t>Time and material</t>
        </is>
      </c>
      <c r="E728" s="4" t="inlineStr">
        <is>
          <t>Red Rock</t>
        </is>
      </c>
      <c r="F728" s="4" t="inlineStr">
        <is>
          <t>Shelia Horne</t>
        </is>
      </c>
      <c r="G728" s="5" t="n">
        <v>12300</v>
      </c>
      <c r="H728" s="5" t="n">
        <v>25.25</v>
      </c>
      <c r="I728" s="5" t="n">
        <v>6.19</v>
      </c>
      <c r="J728" s="5" t="n">
        <v>7953.18</v>
      </c>
      <c r="K728" s="5" t="n">
        <v>7953.18</v>
      </c>
      <c r="L728" s="5" t="n">
        <v>0</v>
      </c>
      <c r="M728" s="5" t="n">
        <v>14.5</v>
      </c>
      <c r="N728" s="5" t="n">
        <v>7938.68</v>
      </c>
      <c r="O728" s="5" t="n">
        <v>7938.68</v>
      </c>
      <c r="P728" s="4" t="n"/>
      <c r="Q728" s="6" t="n">
        <v>0.002</v>
      </c>
      <c r="R728" s="6" t="n">
        <v>0.0018</v>
      </c>
    </row>
    <row r="729">
      <c r="A729" s="4" t="inlineStr">
        <is>
          <t>26-PC-39390</t>
        </is>
      </c>
      <c r="B729" s="4" t="inlineStr">
        <is>
          <t>Juniper Wash Fiber Route Phase I Survey</t>
        </is>
      </c>
      <c r="C729" s="4" t="inlineStr">
        <is>
          <t>Final Reporting/Review</t>
        </is>
      </c>
      <c r="D729" s="4" t="inlineStr">
        <is>
          <t>Fixed fee</t>
        </is>
      </c>
      <c r="E729" s="4" t="inlineStr">
        <is>
          <t>Red Rock</t>
        </is>
      </c>
      <c r="F729" s="4" t="inlineStr">
        <is>
          <t>Javier Newman</t>
        </is>
      </c>
      <c r="G729" s="5" t="n">
        <v>59600</v>
      </c>
      <c r="H729" s="5" t="n">
        <v>8504.92</v>
      </c>
      <c r="I729" s="5" t="n">
        <v>7212.74</v>
      </c>
      <c r="J729" s="5" t="n">
        <v>37810.24</v>
      </c>
      <c r="K729" s="5" t="n">
        <v>37810.24</v>
      </c>
      <c r="L729" s="5" t="n">
        <v>0</v>
      </c>
      <c r="M729" s="5" t="n">
        <v>5396.14</v>
      </c>
      <c r="N729" s="5" t="n">
        <v>32414.1</v>
      </c>
      <c r="O729" s="5" t="n">
        <v>32414.1</v>
      </c>
      <c r="P729" s="4" t="n"/>
      <c r="Q729" s="6" t="n">
        <v>0.143</v>
      </c>
      <c r="R729" s="6" t="n">
        <v>0.1427</v>
      </c>
    </row>
    <row r="730">
      <c r="A730" s="4" t="inlineStr">
        <is>
          <t>26-PC-39446</t>
        </is>
      </c>
      <c r="B730" s="4" t="inlineStr">
        <is>
          <t>On-Call: Tamarack Bridge Replacement Architectural History Survey</t>
        </is>
      </c>
      <c r="C730" s="4" t="inlineStr">
        <is>
          <t>Transferred Entity</t>
        </is>
      </c>
      <c r="D730" s="4" t="inlineStr">
        <is>
          <t>Fixed fee</t>
        </is>
      </c>
      <c r="E730" s="4" t="inlineStr">
        <is>
          <t>Red Rock</t>
        </is>
      </c>
      <c r="F730" s="4" t="inlineStr">
        <is>
          <t>Jeanette Chung</t>
        </is>
      </c>
      <c r="G730" s="5" t="n">
        <v>131200</v>
      </c>
      <c r="H730" s="5" t="n">
        <v>36696.64</v>
      </c>
      <c r="I730" s="5" t="n">
        <v>14737.81</v>
      </c>
      <c r="J730" s="5" t="n">
        <v>102152.32</v>
      </c>
      <c r="K730" s="5" t="n">
        <v>102152.32</v>
      </c>
      <c r="L730" s="5" t="n">
        <v>0</v>
      </c>
      <c r="M730" s="5" t="n">
        <v>28568.41</v>
      </c>
      <c r="N730" s="5" t="n">
        <v>73583.91</v>
      </c>
      <c r="O730" s="5" t="n">
        <v>73583.91</v>
      </c>
      <c r="P730" s="4" t="n"/>
      <c r="Q730" s="6" t="n">
        <v>0.28</v>
      </c>
      <c r="R730" s="6" t="n">
        <v>0.2797</v>
      </c>
    </row>
    <row r="731">
      <c r="A731" s="4" t="inlineStr">
        <is>
          <t>26-PC-39537</t>
        </is>
      </c>
      <c r="B731" s="4" t="inlineStr">
        <is>
          <t>Badger Hollow Cultural Resources Monitoring</t>
        </is>
      </c>
      <c r="C731" s="4" t="inlineStr">
        <is>
          <t>In Progress</t>
        </is>
      </c>
      <c r="D731" s="4" t="inlineStr">
        <is>
          <t>Fixed fee</t>
        </is>
      </c>
      <c r="E731" s="4" t="inlineStr">
        <is>
          <t>Red Rock</t>
        </is>
      </c>
      <c r="F731" s="4" t="inlineStr">
        <is>
          <t>Tina Aguirre</t>
        </is>
      </c>
      <c r="G731" s="5" t="n">
        <v>82700</v>
      </c>
      <c r="H731" s="5" t="n">
        <v>6888.91</v>
      </c>
      <c r="I731" s="5" t="n">
        <v>4164.55</v>
      </c>
      <c r="J731" s="5" t="n">
        <v>63951.91</v>
      </c>
      <c r="K731" s="5" t="n">
        <v>63951.91</v>
      </c>
      <c r="L731" s="5" t="n">
        <v>0</v>
      </c>
      <c r="M731" s="5" t="n">
        <v>5327.47</v>
      </c>
      <c r="N731" s="5" t="n">
        <v>58624.44</v>
      </c>
      <c r="O731" s="5" t="n">
        <v>58624.44</v>
      </c>
      <c r="P731" s="4" t="n"/>
      <c r="Q731" s="6" t="n">
        <v>0.083</v>
      </c>
      <c r="R731" s="6" t="n">
        <v>0.0833</v>
      </c>
    </row>
    <row r="732">
      <c r="A732" s="4" t="inlineStr">
        <is>
          <t>26-PC-39565</t>
        </is>
      </c>
      <c r="B732" s="4" t="inlineStr">
        <is>
          <t>On-Call: Aspen Ridge Battery Storage Maritime Remote Sensing Survey</t>
        </is>
      </c>
      <c r="C732" s="4" t="inlineStr">
        <is>
          <t>In Progress</t>
        </is>
      </c>
      <c r="D732" s="4" t="inlineStr">
        <is>
          <t>Time and material</t>
        </is>
      </c>
      <c r="E732" s="4" t="inlineStr">
        <is>
          <t>Red Rock</t>
        </is>
      </c>
      <c r="F732" s="4" t="inlineStr">
        <is>
          <t>Lydia Cisneros</t>
        </is>
      </c>
      <c r="G732" s="5" t="n">
        <v>97600</v>
      </c>
      <c r="H732" s="5" t="n">
        <v>32668</v>
      </c>
      <c r="I732" s="5" t="n">
        <v>27241.61</v>
      </c>
      <c r="J732" s="5" t="n">
        <v>60541.28</v>
      </c>
      <c r="K732" s="5" t="n">
        <v>60541.28</v>
      </c>
      <c r="L732" s="5" t="n">
        <v>0</v>
      </c>
      <c r="M732" s="5" t="n">
        <v>19109.38</v>
      </c>
      <c r="N732" s="5" t="n">
        <v>41431.89999999999</v>
      </c>
      <c r="O732" s="5" t="n">
        <v>41431.89999999999</v>
      </c>
      <c r="P732" s="4" t="n"/>
      <c r="Q732" s="6" t="n">
        <v>0.335</v>
      </c>
      <c r="R732" s="6" t="n">
        <v>0.3156</v>
      </c>
    </row>
    <row r="733">
      <c r="A733" s="4" t="inlineStr">
        <is>
          <t>26-PC-39587</t>
        </is>
      </c>
      <c r="B733" s="4" t="inlineStr">
        <is>
          <t>Ember Valley Curation</t>
        </is>
      </c>
      <c r="C733" s="4" t="inlineStr">
        <is>
          <t>Cost Tracking on Closed Project</t>
        </is>
      </c>
      <c r="D733" s="4" t="inlineStr">
        <is>
          <t>Time and material</t>
        </is>
      </c>
      <c r="E733" s="4" t="inlineStr">
        <is>
          <t>Red Rock</t>
        </is>
      </c>
      <c r="F733" s="4" t="inlineStr">
        <is>
          <t>Javier Newman</t>
        </is>
      </c>
      <c r="G733" s="5" t="n">
        <v>288900</v>
      </c>
      <c r="H733" s="5" t="n">
        <v>0</v>
      </c>
      <c r="I733" s="5" t="n">
        <v>0</v>
      </c>
      <c r="J733" s="5" t="n">
        <v>211965.93</v>
      </c>
      <c r="K733" s="5" t="n">
        <v>211965.93</v>
      </c>
      <c r="L733" s="5" t="n">
        <v>0</v>
      </c>
      <c r="M733" s="5" t="n">
        <v>213449.22</v>
      </c>
      <c r="N733" s="5" t="n">
        <v>-1483.290000000008</v>
      </c>
      <c r="O733" s="5" t="n">
        <v>-1483.290000000008</v>
      </c>
      <c r="P733" s="4" t="n"/>
      <c r="Q733" s="6" t="n">
        <v>0</v>
      </c>
      <c r="R733" s="6" t="n">
        <v>1.007</v>
      </c>
    </row>
    <row r="734">
      <c r="A734" s="4" t="inlineStr">
        <is>
          <t>26-PC-39619</t>
        </is>
      </c>
      <c r="B734" s="4" t="inlineStr">
        <is>
          <t>Hackberry Bend Transmission Line - Paleontological Monitoring</t>
        </is>
      </c>
      <c r="C734" s="4" t="inlineStr">
        <is>
          <t>In Progress</t>
        </is>
      </c>
      <c r="D734" s="4" t="inlineStr">
        <is>
          <t>Fixed fee</t>
        </is>
      </c>
      <c r="E734" s="4" t="inlineStr">
        <is>
          <t>Red Rock</t>
        </is>
      </c>
      <c r="F734" s="4" t="inlineStr">
        <is>
          <t>Lydia Cisneros</t>
        </is>
      </c>
      <c r="G734" s="5" t="n">
        <v>79000</v>
      </c>
      <c r="H734" s="5" t="n">
        <v>2630.7</v>
      </c>
      <c r="I734" s="5" t="n">
        <v>609.5599999999999</v>
      </c>
      <c r="J734" s="5" t="n">
        <v>54115</v>
      </c>
      <c r="K734" s="5" t="n">
        <v>54115</v>
      </c>
      <c r="L734" s="5" t="n">
        <v>0</v>
      </c>
      <c r="M734" s="5" t="n">
        <v>1801.57</v>
      </c>
      <c r="N734" s="5" t="n">
        <v>52313.43</v>
      </c>
      <c r="O734" s="5" t="n">
        <v>52313.43</v>
      </c>
      <c r="P734" s="4" t="n"/>
      <c r="Q734" s="6" t="n">
        <v>0.033</v>
      </c>
      <c r="R734" s="6" t="n">
        <v>0.0333</v>
      </c>
    </row>
    <row r="735">
      <c r="A735" s="4" t="inlineStr">
        <is>
          <t>26-PC-39638</t>
        </is>
      </c>
      <c r="B735" s="4" t="inlineStr">
        <is>
          <t>On-Call: North Fork Transmission Line Historic Resources Evaluation</t>
        </is>
      </c>
      <c r="C735" s="4" t="inlineStr">
        <is>
          <t>In Progress</t>
        </is>
      </c>
      <c r="D735" s="4" t="inlineStr">
        <is>
          <t>Time and material</t>
        </is>
      </c>
      <c r="E735" s="4" t="inlineStr">
        <is>
          <t>Red Rock</t>
        </is>
      </c>
      <c r="F735" s="4" t="inlineStr">
        <is>
          <t>Shelia Horne</t>
        </is>
      </c>
      <c r="G735" s="5" t="n">
        <v>131700</v>
      </c>
      <c r="H735" s="5" t="n">
        <v>34411.5</v>
      </c>
      <c r="I735" s="5" t="n">
        <v>20382.48</v>
      </c>
      <c r="J735" s="5" t="n">
        <v>85748.89999999999</v>
      </c>
      <c r="K735" s="5" t="n">
        <v>62865.33</v>
      </c>
      <c r="L735" s="5" t="n">
        <v>22883.57</v>
      </c>
      <c r="M735" s="5" t="n">
        <v>23512.46</v>
      </c>
      <c r="N735" s="5" t="n">
        <v>62236.44</v>
      </c>
      <c r="O735" s="5" t="n">
        <v>39352.87</v>
      </c>
      <c r="P735" s="4" t="n"/>
      <c r="Q735" s="6" t="n">
        <v>0.261</v>
      </c>
      <c r="R735" s="6" t="n">
        <v>0.2742</v>
      </c>
    </row>
    <row r="736">
      <c r="A736" s="4" t="inlineStr">
        <is>
          <t>26-PC-39699</t>
        </is>
      </c>
      <c r="B736" s="4" t="inlineStr">
        <is>
          <t>Thistle Down Reservoir - Data Recovery</t>
        </is>
      </c>
      <c r="C736" s="4" t="inlineStr">
        <is>
          <t>In Progress</t>
        </is>
      </c>
      <c r="D736" s="4" t="inlineStr">
        <is>
          <t>Fixed fee</t>
        </is>
      </c>
      <c r="E736" s="4" t="inlineStr">
        <is>
          <t>Red Rock</t>
        </is>
      </c>
      <c r="F736" s="4" t="inlineStr">
        <is>
          <t>Jeanette Chung</t>
        </is>
      </c>
      <c r="G736" s="5" t="n">
        <v>88200</v>
      </c>
      <c r="H736" s="5" t="n">
        <v>9931.32</v>
      </c>
      <c r="I736" s="5" t="n">
        <v>5211.57</v>
      </c>
      <c r="J736" s="5" t="n">
        <v>62269.2</v>
      </c>
      <c r="K736" s="5" t="n">
        <v>62269.2</v>
      </c>
      <c r="L736" s="5" t="n">
        <v>0</v>
      </c>
      <c r="M736" s="5" t="n">
        <v>7012.08</v>
      </c>
      <c r="N736" s="5" t="n">
        <v>55257.12</v>
      </c>
      <c r="O736" s="5" t="n">
        <v>55257.12</v>
      </c>
      <c r="P736" s="4" t="n"/>
      <c r="Q736" s="6" t="n">
        <v>0.113</v>
      </c>
      <c r="R736" s="6" t="n">
        <v>0.1126</v>
      </c>
    </row>
    <row r="737">
      <c r="A737" s="4" t="inlineStr">
        <is>
          <t>26-PC-39725</t>
        </is>
      </c>
      <c r="B737" s="4" t="inlineStr">
        <is>
          <t>Kestrel Butte Mine Expansion Cultural Resources Assessment</t>
        </is>
      </c>
      <c r="C737" s="4" t="inlineStr">
        <is>
          <t>Cost Tracking on Closed Project</t>
        </is>
      </c>
      <c r="D737" s="4" t="inlineStr">
        <is>
          <t>Fixed fee</t>
        </is>
      </c>
      <c r="E737" s="4" t="inlineStr">
        <is>
          <t>Red Rock</t>
        </is>
      </c>
      <c r="F737" s="4" t="inlineStr">
        <is>
          <t>Tina Aguirre</t>
        </is>
      </c>
      <c r="G737" s="5" t="n">
        <v>115900</v>
      </c>
      <c r="H737" s="5" t="n">
        <v>115900</v>
      </c>
      <c r="I737" s="5" t="n">
        <v>115900</v>
      </c>
      <c r="J737" s="5" t="n">
        <v>86530.94</v>
      </c>
      <c r="K737" s="5" t="n">
        <v>86530.94</v>
      </c>
      <c r="L737" s="5" t="n">
        <v>0</v>
      </c>
      <c r="M737" s="5" t="n">
        <v>99694.97</v>
      </c>
      <c r="N737" s="5" t="n">
        <v>-13164.03</v>
      </c>
      <c r="O737" s="5" t="n">
        <v>-13164.03</v>
      </c>
      <c r="P737" s="4" t="n"/>
      <c r="Q737" s="6" t="n">
        <v>1</v>
      </c>
      <c r="R737" s="6" t="n">
        <v>1.1521</v>
      </c>
    </row>
    <row r="738">
      <c r="A738" s="4" t="inlineStr">
        <is>
          <t>26-PC-39744</t>
        </is>
      </c>
      <c r="B738" s="4" t="inlineStr">
        <is>
          <t>Phase III: Sumac Ridge Wastewater Plant Archaeological Testing</t>
        </is>
      </c>
      <c r="C738" s="4" t="inlineStr">
        <is>
          <t>In Progress</t>
        </is>
      </c>
      <c r="D738" s="4" t="inlineStr">
        <is>
          <t>Time and material</t>
        </is>
      </c>
      <c r="E738" s="4" t="inlineStr">
        <is>
          <t>Red Rock</t>
        </is>
      </c>
      <c r="F738" s="4" t="inlineStr">
        <is>
          <t>Bruce Suarez</t>
        </is>
      </c>
      <c r="G738" s="5" t="n">
        <v>351100</v>
      </c>
      <c r="H738" s="5" t="n">
        <v>25000.75</v>
      </c>
      <c r="I738" s="5" t="n">
        <v>16051.84</v>
      </c>
      <c r="J738" s="5" t="n">
        <v>225441.31</v>
      </c>
      <c r="K738" s="5" t="n">
        <v>225441.31</v>
      </c>
      <c r="L738" s="5" t="n">
        <v>0</v>
      </c>
      <c r="M738" s="5" t="n">
        <v>14063.62</v>
      </c>
      <c r="N738" s="5" t="n">
        <v>211377.69</v>
      </c>
      <c r="O738" s="5" t="n">
        <v>211377.69</v>
      </c>
      <c r="P738" s="4" t="n"/>
      <c r="Q738" s="6" t="n">
        <v>0.07099999999999999</v>
      </c>
      <c r="R738" s="6" t="n">
        <v>0.0624</v>
      </c>
    </row>
    <row r="739">
      <c r="A739" s="4" t="inlineStr">
        <is>
          <t>26-PC-39778</t>
        </is>
      </c>
      <c r="B739" s="4" t="inlineStr">
        <is>
          <t>Thistle Down Battery Storage - Architectural History Survey</t>
        </is>
      </c>
      <c r="C739" s="4" t="inlineStr">
        <is>
          <t>In Progress</t>
        </is>
      </c>
      <c r="D739" s="4" t="inlineStr">
        <is>
          <t>Time and material</t>
        </is>
      </c>
      <c r="E739" s="4" t="inlineStr">
        <is>
          <t>Red Rock</t>
        </is>
      </c>
      <c r="F739" s="4" t="inlineStr">
        <is>
          <t>Marisa Odom</t>
        </is>
      </c>
      <c r="G739" s="5" t="n">
        <v>35700</v>
      </c>
      <c r="H739" s="5" t="n">
        <v>2505.25</v>
      </c>
      <c r="I739" s="5" t="n">
        <v>2429.52</v>
      </c>
      <c r="J739" s="5" t="n">
        <v>26613.7</v>
      </c>
      <c r="K739" s="5" t="n">
        <v>20089.92</v>
      </c>
      <c r="L739" s="5" t="n">
        <v>6523.78</v>
      </c>
      <c r="M739" s="5" t="n">
        <v>1536.44</v>
      </c>
      <c r="N739" s="5" t="n">
        <v>25077.26</v>
      </c>
      <c r="O739" s="5" t="n">
        <v>18553.48</v>
      </c>
      <c r="P739" s="4" t="n"/>
      <c r="Q739" s="6" t="n">
        <v>0.07000000000000001</v>
      </c>
      <c r="R739" s="6" t="n">
        <v>0.0577</v>
      </c>
    </row>
    <row r="740">
      <c r="A740" s="4" t="inlineStr">
        <is>
          <t>26-PC-39780</t>
        </is>
      </c>
      <c r="B740" s="4" t="inlineStr">
        <is>
          <t>Phase I: Rushgrass Draw Mine Expansion Maritime Remote Sensing Survey</t>
        </is>
      </c>
      <c r="C740" s="4" t="inlineStr">
        <is>
          <t>In Progress</t>
        </is>
      </c>
      <c r="D740" s="4" t="inlineStr">
        <is>
          <t>Time and material</t>
        </is>
      </c>
      <c r="E740" s="4" t="inlineStr">
        <is>
          <t>Red Rock</t>
        </is>
      </c>
      <c r="F740" s="4" t="inlineStr">
        <is>
          <t>Shelia Horne</t>
        </is>
      </c>
      <c r="G740" s="5" t="n">
        <v>113500</v>
      </c>
      <c r="H740" s="5" t="n">
        <v>9446.75</v>
      </c>
      <c r="I740" s="5" t="n">
        <v>4440.96</v>
      </c>
      <c r="J740" s="5" t="n">
        <v>76714.64999999999</v>
      </c>
      <c r="K740" s="5" t="n">
        <v>76714.64999999999</v>
      </c>
      <c r="L740" s="5" t="n">
        <v>0</v>
      </c>
      <c r="M740" s="5" t="n">
        <v>5533.85</v>
      </c>
      <c r="N740" s="5" t="n">
        <v>71180.79999999999</v>
      </c>
      <c r="O740" s="5" t="n">
        <v>71180.79999999999</v>
      </c>
      <c r="P740" s="4" t="n"/>
      <c r="Q740" s="6" t="n">
        <v>0.083</v>
      </c>
      <c r="R740" s="6" t="n">
        <v>0.0721</v>
      </c>
    </row>
    <row r="741">
      <c r="A741" s="4" t="inlineStr">
        <is>
          <t>26-PC-39880</t>
        </is>
      </c>
      <c r="B741" s="4" t="inlineStr">
        <is>
          <t>Larkspur Section 106 Consultation</t>
        </is>
      </c>
      <c r="C741" s="4" t="inlineStr">
        <is>
          <t>In Progress</t>
        </is>
      </c>
      <c r="D741" s="4" t="inlineStr">
        <is>
          <t>Time and material</t>
        </is>
      </c>
      <c r="E741" s="4" t="inlineStr">
        <is>
          <t>Red Rock</t>
        </is>
      </c>
      <c r="F741" s="4" t="inlineStr">
        <is>
          <t>Jeanette Chung</t>
        </is>
      </c>
      <c r="G741" s="5" t="n">
        <v>100200</v>
      </c>
      <c r="H741" s="5" t="n">
        <v>37315.75</v>
      </c>
      <c r="I741" s="5" t="n">
        <v>16949.07</v>
      </c>
      <c r="J741" s="5" t="n">
        <v>73772.32000000001</v>
      </c>
      <c r="K741" s="5" t="n">
        <v>69374.59</v>
      </c>
      <c r="L741" s="5" t="n">
        <v>4397.73</v>
      </c>
      <c r="M741" s="5" t="n">
        <v>27101.22</v>
      </c>
      <c r="N741" s="5" t="n">
        <v>46671.10000000001</v>
      </c>
      <c r="O741" s="5" t="n">
        <v>42273.37</v>
      </c>
      <c r="P741" s="4" t="n"/>
      <c r="Q741" s="6" t="n">
        <v>0.372</v>
      </c>
      <c r="R741" s="6" t="n">
        <v>0.3674</v>
      </c>
    </row>
    <row r="742">
      <c r="A742" s="4" t="inlineStr">
        <is>
          <t>26-PC-39971</t>
        </is>
      </c>
      <c r="B742" s="4" t="inlineStr">
        <is>
          <t>Pebble Beach Road Environmental Review Support</t>
        </is>
      </c>
      <c r="C742" s="4" t="inlineStr">
        <is>
          <t>Final Reporting/Review</t>
        </is>
      </c>
      <c r="D742" s="4" t="inlineStr">
        <is>
          <t>Time and material</t>
        </is>
      </c>
      <c r="E742" s="4" t="inlineStr">
        <is>
          <t>Red Rock</t>
        </is>
      </c>
      <c r="F742" s="4" t="inlineStr">
        <is>
          <t>Marisa Odom</t>
        </is>
      </c>
      <c r="G742" s="5" t="n">
        <v>114600</v>
      </c>
      <c r="H742" s="5" t="n">
        <v>102477.5</v>
      </c>
      <c r="I742" s="5" t="n">
        <v>83845.05</v>
      </c>
      <c r="J742" s="5" t="n">
        <v>79406.34</v>
      </c>
      <c r="K742" s="5" t="n">
        <v>79406.34</v>
      </c>
      <c r="L742" s="5" t="n">
        <v>0</v>
      </c>
      <c r="M742" s="5" t="n">
        <v>65080</v>
      </c>
      <c r="N742" s="5" t="n">
        <v>14326.34</v>
      </c>
      <c r="O742" s="5" t="n">
        <v>14326.34</v>
      </c>
      <c r="P742" s="4" t="n"/>
      <c r="Q742" s="6" t="n">
        <v>0.894</v>
      </c>
      <c r="R742" s="6" t="n">
        <v>0.8196</v>
      </c>
    </row>
    <row r="743">
      <c r="A743" s="4" t="inlineStr">
        <is>
          <t>26-PC-39990</t>
        </is>
      </c>
      <c r="B743" s="4" t="inlineStr">
        <is>
          <t>Falcon Mesa Solar - Phase I Survey</t>
        </is>
      </c>
      <c r="C743" s="4" t="inlineStr">
        <is>
          <t>In Progress</t>
        </is>
      </c>
      <c r="D743" s="4" t="inlineStr">
        <is>
          <t>Time and material</t>
        </is>
      </c>
      <c r="E743" s="4" t="inlineStr">
        <is>
          <t>Red Rock</t>
        </is>
      </c>
      <c r="F743" s="4" t="inlineStr">
        <is>
          <t>Tina Aguirre</t>
        </is>
      </c>
      <c r="G743" s="5" t="n">
        <v>15600</v>
      </c>
      <c r="H743" s="5" t="n">
        <v>710.5</v>
      </c>
      <c r="I743" s="5" t="n">
        <v>363.28</v>
      </c>
      <c r="J743" s="5" t="n">
        <v>10693.8</v>
      </c>
      <c r="K743" s="5" t="n">
        <v>10693.8</v>
      </c>
      <c r="L743" s="5" t="n">
        <v>0</v>
      </c>
      <c r="M743" s="5" t="n">
        <v>417.69</v>
      </c>
      <c r="N743" s="5" t="n">
        <v>10276.11</v>
      </c>
      <c r="O743" s="5" t="n">
        <v>10276.11</v>
      </c>
      <c r="P743" s="4" t="n"/>
      <c r="Q743" s="6" t="n">
        <v>0.046</v>
      </c>
      <c r="R743" s="6" t="n">
        <v>0.0391</v>
      </c>
    </row>
    <row r="744">
      <c r="A744" s="4" t="inlineStr">
        <is>
          <t>26-PC-40009</t>
        </is>
      </c>
      <c r="B744" s="4" t="inlineStr">
        <is>
          <t>Oak Terrace Harbor Dredging Curation</t>
        </is>
      </c>
      <c r="C744" s="4" t="inlineStr">
        <is>
          <t>In Progress</t>
        </is>
      </c>
      <c r="D744" s="4" t="inlineStr">
        <is>
          <t>Fixed fee</t>
        </is>
      </c>
      <c r="E744" s="4" t="inlineStr">
        <is>
          <t>Red Rock</t>
        </is>
      </c>
      <c r="F744" s="4" t="inlineStr">
        <is>
          <t>Shelia Horne</t>
        </is>
      </c>
      <c r="G744" s="5" t="n">
        <v>63600</v>
      </c>
      <c r="H744" s="5" t="n">
        <v>23188.56</v>
      </c>
      <c r="I744" s="5" t="n">
        <v>20141.14</v>
      </c>
      <c r="J744" s="5" t="n">
        <v>43349.76</v>
      </c>
      <c r="K744" s="5" t="n">
        <v>43349.76</v>
      </c>
      <c r="L744" s="5" t="n">
        <v>0</v>
      </c>
      <c r="M744" s="5" t="n">
        <v>15804.89</v>
      </c>
      <c r="N744" s="5" t="n">
        <v>27544.87</v>
      </c>
      <c r="O744" s="5" t="n">
        <v>27544.87</v>
      </c>
      <c r="P744" s="4" t="n"/>
      <c r="Q744" s="6" t="n">
        <v>0.365</v>
      </c>
      <c r="R744" s="6" t="n">
        <v>0.3646</v>
      </c>
    </row>
    <row r="745">
      <c r="A745" s="4" t="inlineStr">
        <is>
          <t>26-PC-40055</t>
        </is>
      </c>
      <c r="B745" s="4" t="inlineStr">
        <is>
          <t>Twin Buttes Pipeline Architectural History Survey</t>
        </is>
      </c>
      <c r="C745" s="4" t="inlineStr">
        <is>
          <t>In Progress</t>
        </is>
      </c>
      <c r="D745" s="4" t="inlineStr">
        <is>
          <t>Time and material</t>
        </is>
      </c>
      <c r="E745" s="4" t="inlineStr">
        <is>
          <t>Red Rock</t>
        </is>
      </c>
      <c r="F745" s="4" t="inlineStr">
        <is>
          <t>Shelia Horne</t>
        </is>
      </c>
      <c r="G745" s="5" t="n">
        <v>22000</v>
      </c>
      <c r="H745" s="5" t="n">
        <v>8813.5</v>
      </c>
      <c r="I745" s="5" t="n">
        <v>2605.35</v>
      </c>
      <c r="J745" s="5" t="n">
        <v>14259.29</v>
      </c>
      <c r="K745" s="5" t="n">
        <v>12788.18</v>
      </c>
      <c r="L745" s="5" t="n">
        <v>1471.11</v>
      </c>
      <c r="M745" s="5" t="n">
        <v>4910.87</v>
      </c>
      <c r="N745" s="5" t="n">
        <v>9348.420000000002</v>
      </c>
      <c r="O745" s="5" t="n">
        <v>7877.31</v>
      </c>
      <c r="P745" s="4" t="n"/>
      <c r="Q745" s="6" t="n">
        <v>0.401</v>
      </c>
      <c r="R745" s="6" t="n">
        <v>0.3444</v>
      </c>
    </row>
    <row r="746">
      <c r="A746" s="4" t="inlineStr">
        <is>
          <t>26-PC-40092</t>
        </is>
      </c>
      <c r="B746" s="4" t="inlineStr">
        <is>
          <t>Eagle Bend Environmental Review Support</t>
        </is>
      </c>
      <c r="C746" s="4" t="inlineStr">
        <is>
          <t>In Progress</t>
        </is>
      </c>
      <c r="D746" s="4" t="inlineStr">
        <is>
          <t>Fixed fee</t>
        </is>
      </c>
      <c r="E746" s="4" t="inlineStr">
        <is>
          <t>Sierra South</t>
        </is>
      </c>
      <c r="F746" s="4" t="inlineStr">
        <is>
          <t>Angelica Poole</t>
        </is>
      </c>
      <c r="G746" s="5" t="n">
        <v>3672000</v>
      </c>
      <c r="H746" s="5" t="n">
        <v>15422.4</v>
      </c>
      <c r="I746" s="5" t="n">
        <v>7215.21</v>
      </c>
      <c r="J746" s="5" t="n">
        <v>2369908.8</v>
      </c>
      <c r="K746" s="5" t="n">
        <v>2369908.8</v>
      </c>
      <c r="L746" s="5" t="n">
        <v>0</v>
      </c>
      <c r="M746" s="5" t="n">
        <v>9935.540000000001</v>
      </c>
      <c r="N746" s="5" t="n">
        <v>2359973.26</v>
      </c>
      <c r="O746" s="5" t="n">
        <v>2359973.26</v>
      </c>
      <c r="P746" s="4" t="n"/>
      <c r="Q746" s="6" t="n">
        <v>0.004</v>
      </c>
      <c r="R746" s="6" t="n">
        <v>0.0042</v>
      </c>
    </row>
    <row r="747">
      <c r="A747" s="4" t="inlineStr">
        <is>
          <t>26-PC-40176</t>
        </is>
      </c>
      <c r="B747" s="4" t="inlineStr">
        <is>
          <t>On-Call: Twin Buttes Harbor Dredging Phase I Survey</t>
        </is>
      </c>
      <c r="C747" s="4" t="inlineStr">
        <is>
          <t>Final Reporting/Review</t>
        </is>
      </c>
      <c r="D747" s="4" t="inlineStr">
        <is>
          <t>Time and material</t>
        </is>
      </c>
      <c r="E747" s="4" t="inlineStr">
        <is>
          <t>Sierra South</t>
        </is>
      </c>
      <c r="F747" s="4" t="inlineStr">
        <is>
          <t>Louis Huff</t>
        </is>
      </c>
      <c r="G747" s="5" t="n">
        <v>143600</v>
      </c>
      <c r="H747" s="5" t="n">
        <v>39852</v>
      </c>
      <c r="I747" s="5" t="n">
        <v>33027.78</v>
      </c>
      <c r="J747" s="5" t="n">
        <v>93138.96000000001</v>
      </c>
      <c r="K747" s="5" t="n">
        <v>93138.96000000001</v>
      </c>
      <c r="L747" s="5" t="n">
        <v>0</v>
      </c>
      <c r="M747" s="5" t="n">
        <v>23412.97</v>
      </c>
      <c r="N747" s="5" t="n">
        <v>69725.99000000001</v>
      </c>
      <c r="O747" s="5" t="n">
        <v>69725.99000000001</v>
      </c>
      <c r="P747" s="4" t="n"/>
      <c r="Q747" s="6" t="n">
        <v>0.278</v>
      </c>
      <c r="R747" s="6" t="n">
        <v>0.2514</v>
      </c>
    </row>
    <row r="748">
      <c r="A748" s="4" t="inlineStr">
        <is>
          <t>26-PC-40296</t>
        </is>
      </c>
      <c r="B748" s="4" t="inlineStr">
        <is>
          <t>Twin Buttes Class III Survey</t>
        </is>
      </c>
      <c r="C748" s="4" t="inlineStr">
        <is>
          <t>In Progress</t>
        </is>
      </c>
      <c r="D748" s="4" t="inlineStr">
        <is>
          <t>Fixed fee</t>
        </is>
      </c>
      <c r="E748" s="4" t="inlineStr">
        <is>
          <t>Sierra South</t>
        </is>
      </c>
      <c r="F748" s="4" t="inlineStr">
        <is>
          <t>Donna Herring</t>
        </is>
      </c>
      <c r="G748" s="5" t="n">
        <v>6400</v>
      </c>
      <c r="H748" s="5" t="n">
        <v>1088.64</v>
      </c>
      <c r="I748" s="5" t="n">
        <v>1006.05</v>
      </c>
      <c r="J748" s="5" t="n">
        <v>4648.32</v>
      </c>
      <c r="K748" s="5" t="n">
        <v>4648.32</v>
      </c>
      <c r="L748" s="5" t="n">
        <v>0</v>
      </c>
      <c r="M748" s="5" t="n">
        <v>790.8</v>
      </c>
      <c r="N748" s="5" t="n">
        <v>3857.52</v>
      </c>
      <c r="O748" s="5" t="n">
        <v>3857.52</v>
      </c>
      <c r="P748" s="4" t="n"/>
      <c r="Q748" s="6" t="n">
        <v>0.17</v>
      </c>
      <c r="R748" s="6" t="n">
        <v>0.1701</v>
      </c>
    </row>
    <row r="749">
      <c r="A749" s="4" t="inlineStr">
        <is>
          <t>26-PC-40304</t>
        </is>
      </c>
      <c r="B749" s="4" t="inlineStr">
        <is>
          <t>Willow Springs Fiber Route Archaeological Testing</t>
        </is>
      </c>
      <c r="C749" s="4" t="inlineStr">
        <is>
          <t>In Progress</t>
        </is>
      </c>
      <c r="D749" s="4" t="inlineStr">
        <is>
          <t>Fixed fee</t>
        </is>
      </c>
      <c r="E749" s="4" t="inlineStr">
        <is>
          <t>Sierra</t>
        </is>
      </c>
      <c r="F749" s="4" t="inlineStr">
        <is>
          <t>Donna Herring</t>
        </is>
      </c>
      <c r="G749" s="5" t="n">
        <v>132900</v>
      </c>
      <c r="H749" s="5" t="n">
        <v>18100.98</v>
      </c>
      <c r="I749" s="5" t="n">
        <v>15168.63</v>
      </c>
      <c r="J749" s="5" t="n">
        <v>101283.22</v>
      </c>
      <c r="K749" s="5" t="n">
        <v>73563.57000000001</v>
      </c>
      <c r="L749" s="5" t="n">
        <v>27719.65</v>
      </c>
      <c r="M749" s="5" t="n">
        <v>13790.75</v>
      </c>
      <c r="N749" s="5" t="n">
        <v>87492.47</v>
      </c>
      <c r="O749" s="5" t="n">
        <v>59772.82000000001</v>
      </c>
      <c r="P749" s="4" t="n"/>
      <c r="Q749" s="6" t="n">
        <v>0.136</v>
      </c>
      <c r="R749" s="6" t="n">
        <v>0.1362</v>
      </c>
    </row>
    <row r="750">
      <c r="A750" s="4" t="inlineStr">
        <is>
          <t>26-PC-40334</t>
        </is>
      </c>
      <c r="B750" s="4" t="inlineStr">
        <is>
          <t>Stone Mill Airport Apron - Class III Survey</t>
        </is>
      </c>
      <c r="C750" s="4" t="inlineStr">
        <is>
          <t>In Progress</t>
        </is>
      </c>
      <c r="D750" s="4" t="inlineStr">
        <is>
          <t>Fixed fee</t>
        </is>
      </c>
      <c r="E750" s="4" t="inlineStr">
        <is>
          <t>Sierra North</t>
        </is>
      </c>
      <c r="F750" s="4" t="inlineStr">
        <is>
          <t>Donna Herring</t>
        </is>
      </c>
      <c r="G750" s="5" t="n">
        <v>96900</v>
      </c>
      <c r="H750" s="5" t="n">
        <v>96900</v>
      </c>
      <c r="I750" s="5" t="n">
        <v>90582.42999999999</v>
      </c>
      <c r="J750" s="5" t="n">
        <v>68401.71000000001</v>
      </c>
      <c r="K750" s="5" t="n">
        <v>68401.71000000001</v>
      </c>
      <c r="L750" s="5" t="n">
        <v>0</v>
      </c>
      <c r="M750" s="5" t="n">
        <v>75128.42999999999</v>
      </c>
      <c r="N750" s="5" t="n">
        <v>-6726.719999999987</v>
      </c>
      <c r="O750" s="5" t="n">
        <v>-6726.719999999987</v>
      </c>
      <c r="P750" s="4" t="n"/>
      <c r="Q750" s="6" t="n">
        <v>1</v>
      </c>
      <c r="R750" s="6" t="n">
        <v>1.0983</v>
      </c>
    </row>
    <row r="751">
      <c r="A751" s="4" t="inlineStr">
        <is>
          <t>26-PC-40344</t>
        </is>
      </c>
      <c r="B751" s="4" t="inlineStr">
        <is>
          <t>Tansy Flat Housing Development - Archaeological Testing</t>
        </is>
      </c>
      <c r="C751" s="4" t="inlineStr">
        <is>
          <t>Final Reporting/Review</t>
        </is>
      </c>
      <c r="D751" s="4" t="inlineStr">
        <is>
          <t>Fixed fee</t>
        </is>
      </c>
      <c r="E751" s="4" t="inlineStr">
        <is>
          <t>Sierra</t>
        </is>
      </c>
      <c r="F751" s="4" t="inlineStr">
        <is>
          <t>Louis Huff</t>
        </is>
      </c>
      <c r="G751" s="5" t="n">
        <v>19200</v>
      </c>
      <c r="H751" s="5" t="n">
        <v>19200</v>
      </c>
      <c r="I751" s="5" t="n">
        <v>16759.26</v>
      </c>
      <c r="J751" s="5" t="n">
        <v>14098.56</v>
      </c>
      <c r="K751" s="5" t="n">
        <v>14098.56</v>
      </c>
      <c r="L751" s="5" t="n">
        <v>0</v>
      </c>
      <c r="M751" s="5" t="n">
        <v>18399.82</v>
      </c>
      <c r="N751" s="5" t="n">
        <v>-4301.26</v>
      </c>
      <c r="O751" s="5" t="n">
        <v>-4301.26</v>
      </c>
      <c r="P751" s="4" t="n"/>
      <c r="Q751" s="6" t="n">
        <v>1</v>
      </c>
      <c r="R751" s="6" t="n">
        <v>1.3051</v>
      </c>
    </row>
    <row r="752">
      <c r="A752" s="4" t="inlineStr">
        <is>
          <t>26-PC-40361</t>
        </is>
      </c>
      <c r="B752" s="4" t="inlineStr">
        <is>
          <t>Sea Oat Cultural Resources Assessment</t>
        </is>
      </c>
      <c r="C752" s="4" t="inlineStr">
        <is>
          <t>In Progress</t>
        </is>
      </c>
      <c r="D752" s="4" t="inlineStr">
        <is>
          <t>Fixed fee</t>
        </is>
      </c>
      <c r="E752" s="4" t="inlineStr">
        <is>
          <t>Sierra</t>
        </is>
      </c>
      <c r="F752" s="4" t="inlineStr">
        <is>
          <t>Donna Herring</t>
        </is>
      </c>
      <c r="G752" s="5" t="n">
        <v>156300</v>
      </c>
      <c r="H752" s="5" t="n">
        <v>117897.09</v>
      </c>
      <c r="I752" s="5" t="n">
        <v>95830.05</v>
      </c>
      <c r="J752" s="5" t="n">
        <v>102829.77</v>
      </c>
      <c r="K752" s="5" t="n">
        <v>102829.77</v>
      </c>
      <c r="L752" s="5" t="n">
        <v>0</v>
      </c>
      <c r="M752" s="5" t="n">
        <v>77565.49000000001</v>
      </c>
      <c r="N752" s="5" t="n">
        <v>25264.28</v>
      </c>
      <c r="O752" s="5" t="n">
        <v>25264.28</v>
      </c>
      <c r="P752" s="4" t="n"/>
      <c r="Q752" s="6" t="n">
        <v>0.754</v>
      </c>
      <c r="R752" s="6" t="n">
        <v>0.7543</v>
      </c>
    </row>
    <row r="753">
      <c r="A753" s="4" t="inlineStr">
        <is>
          <t>26-PC-40384</t>
        </is>
      </c>
      <c r="B753" s="4" t="inlineStr">
        <is>
          <t>Maple Fork Solar - Maritime Remote Sensing Survey</t>
        </is>
      </c>
      <c r="C753" s="4" t="inlineStr">
        <is>
          <t>In Progress</t>
        </is>
      </c>
      <c r="D753" s="4" t="inlineStr">
        <is>
          <t>Time and material</t>
        </is>
      </c>
      <c r="E753" s="4" t="inlineStr">
        <is>
          <t>Sierra North</t>
        </is>
      </c>
      <c r="F753" s="4" t="inlineStr">
        <is>
          <t>Donna Herring</t>
        </is>
      </c>
      <c r="G753" s="5" t="n">
        <v>102900</v>
      </c>
      <c r="H753" s="5" t="n">
        <v>49138.25</v>
      </c>
      <c r="I753" s="5" t="n">
        <v>47047.68</v>
      </c>
      <c r="J753" s="5" t="n">
        <v>62220.33</v>
      </c>
      <c r="K753" s="5" t="n">
        <v>48730.76</v>
      </c>
      <c r="L753" s="5" t="n">
        <v>13489.57</v>
      </c>
      <c r="M753" s="5" t="n">
        <v>30693.53</v>
      </c>
      <c r="N753" s="5" t="n">
        <v>31526.8</v>
      </c>
      <c r="O753" s="5" t="n">
        <v>18037.23</v>
      </c>
      <c r="P753" s="4" t="n"/>
      <c r="Q753" s="6" t="n">
        <v>0.478</v>
      </c>
      <c r="R753" s="6" t="n">
        <v>0.4933</v>
      </c>
    </row>
    <row r="754">
      <c r="A754" s="4" t="inlineStr">
        <is>
          <t>26-PC-40422</t>
        </is>
      </c>
      <c r="B754" s="4" t="inlineStr">
        <is>
          <t>Oak Terrace Mixed-Use Development - Architectural History Survey</t>
        </is>
      </c>
      <c r="C754" s="4" t="inlineStr">
        <is>
          <t>Final Reporting/Review</t>
        </is>
      </c>
      <c r="D754" s="4" t="inlineStr">
        <is>
          <t>Fixed fee</t>
        </is>
      </c>
      <c r="E754" s="4" t="inlineStr">
        <is>
          <t>Sierra South</t>
        </is>
      </c>
      <c r="F754" s="4" t="inlineStr">
        <is>
          <t>Donna Herring</t>
        </is>
      </c>
      <c r="G754" s="5" t="n">
        <v>5900</v>
      </c>
      <c r="H754" s="5" t="n">
        <v>5900</v>
      </c>
      <c r="I754" s="5" t="n">
        <v>5708.22</v>
      </c>
      <c r="J754" s="5" t="n">
        <v>4379.73</v>
      </c>
      <c r="K754" s="5" t="n">
        <v>3449.54</v>
      </c>
      <c r="L754" s="5" t="n">
        <v>930.1900000000001</v>
      </c>
      <c r="M754" s="5" t="n">
        <v>8489.9</v>
      </c>
      <c r="N754" s="5" t="n">
        <v>-4110.17</v>
      </c>
      <c r="O754" s="5" t="n">
        <v>-5040.36</v>
      </c>
      <c r="P754" s="4" t="n"/>
      <c r="Q754" s="6" t="n">
        <v>1</v>
      </c>
      <c r="R754" s="6" t="n">
        <v>1.9385</v>
      </c>
    </row>
    <row r="755">
      <c r="A755" s="4" t="inlineStr">
        <is>
          <t>26-PC-40443</t>
        </is>
      </c>
      <c r="B755" s="4" t="inlineStr">
        <is>
          <t>Pine Hollow Wastewater Plant - Built Environment Survey</t>
        </is>
      </c>
      <c r="C755" s="4" t="inlineStr">
        <is>
          <t>In Progress</t>
        </is>
      </c>
      <c r="D755" s="4" t="inlineStr">
        <is>
          <t>Fixed fee</t>
        </is>
      </c>
      <c r="E755" s="4" t="inlineStr">
        <is>
          <t>Sierra North</t>
        </is>
      </c>
      <c r="F755" s="4" t="inlineStr">
        <is>
          <t>Donna Herring</t>
        </is>
      </c>
      <c r="G755" s="5" t="n">
        <v>424500</v>
      </c>
      <c r="H755" s="5" t="n">
        <v>65288.1</v>
      </c>
      <c r="I755" s="5" t="n">
        <v>27486.99</v>
      </c>
      <c r="J755" s="5" t="n">
        <v>299781.9</v>
      </c>
      <c r="K755" s="5" t="n">
        <v>299781.9</v>
      </c>
      <c r="L755" s="5" t="n">
        <v>0</v>
      </c>
      <c r="M755" s="5" t="n">
        <v>46117.81</v>
      </c>
      <c r="N755" s="5" t="n">
        <v>253664.09</v>
      </c>
      <c r="O755" s="5" t="n">
        <v>253664.09</v>
      </c>
      <c r="P755" s="4" t="n"/>
      <c r="Q755" s="6" t="n">
        <v>0.154</v>
      </c>
      <c r="R755" s="6" t="n">
        <v>0.1538</v>
      </c>
    </row>
    <row r="756">
      <c r="A756" s="4" t="inlineStr">
        <is>
          <t>26-PC-40464</t>
        </is>
      </c>
      <c r="B756" s="4" t="inlineStr">
        <is>
          <t>Slate Ridge Trail - Paleontological Monitoring</t>
        </is>
      </c>
      <c r="C756" s="4" t="inlineStr">
        <is>
          <t>In Progress</t>
        </is>
      </c>
      <c r="D756" s="4" t="inlineStr">
        <is>
          <t>Fixed fee</t>
        </is>
      </c>
      <c r="E756" s="4" t="inlineStr">
        <is>
          <t>Sierra North</t>
        </is>
      </c>
      <c r="F756" s="4" t="inlineStr">
        <is>
          <t>Donna Herring</t>
        </is>
      </c>
      <c r="G756" s="5" t="n">
        <v>7500</v>
      </c>
      <c r="H756" s="5" t="n">
        <v>7500</v>
      </c>
      <c r="I756" s="5" t="n">
        <v>7376.17</v>
      </c>
      <c r="J756" s="5" t="n">
        <v>5493</v>
      </c>
      <c r="K756" s="5" t="n">
        <v>5493</v>
      </c>
      <c r="L756" s="5" t="n">
        <v>0</v>
      </c>
      <c r="M756" s="5" t="n">
        <v>8125.76</v>
      </c>
      <c r="N756" s="5" t="n">
        <v>-2632.76</v>
      </c>
      <c r="O756" s="5" t="n">
        <v>-2632.76</v>
      </c>
      <c r="P756" s="4" t="n"/>
      <c r="Q756" s="6" t="n">
        <v>1</v>
      </c>
      <c r="R756" s="6" t="n">
        <v>1.4793</v>
      </c>
    </row>
    <row r="757">
      <c r="A757" s="4" t="inlineStr">
        <is>
          <t>26-PC-40590</t>
        </is>
      </c>
      <c r="B757" s="4" t="inlineStr">
        <is>
          <t>Wildrye Highway Widening - Environmental Review Support</t>
        </is>
      </c>
      <c r="C757" s="4" t="inlineStr">
        <is>
          <t>Final Reporting/Review</t>
        </is>
      </c>
      <c r="D757" s="4" t="inlineStr">
        <is>
          <t>Fixed fee</t>
        </is>
      </c>
      <c r="E757" s="4" t="inlineStr">
        <is>
          <t>Sierra North</t>
        </is>
      </c>
      <c r="F757" s="4" t="inlineStr">
        <is>
          <t>Angelica Poole</t>
        </is>
      </c>
      <c r="G757" s="5" t="n">
        <v>1002000</v>
      </c>
      <c r="H757" s="5" t="n">
        <v>153406.2</v>
      </c>
      <c r="I757" s="5" t="n">
        <v>121067.73</v>
      </c>
      <c r="J757" s="5" t="n">
        <v>809716.2</v>
      </c>
      <c r="K757" s="5" t="n">
        <v>809716.2</v>
      </c>
      <c r="L757" s="5" t="n">
        <v>0</v>
      </c>
      <c r="M757" s="5" t="n">
        <v>123942.06</v>
      </c>
      <c r="N757" s="5" t="n">
        <v>685774.1399999999</v>
      </c>
      <c r="O757" s="5" t="n">
        <v>685774.1399999999</v>
      </c>
      <c r="P757" s="4" t="n"/>
      <c r="Q757" s="6" t="n">
        <v>0.153</v>
      </c>
      <c r="R757" s="6" t="n">
        <v>0.1531</v>
      </c>
    </row>
    <row r="758">
      <c r="A758" s="4" t="inlineStr">
        <is>
          <t>26-PC-40605</t>
        </is>
      </c>
      <c r="B758" s="4" t="inlineStr">
        <is>
          <t>Willow Springs Mixed-Use Development Cultural Resources Assessment</t>
        </is>
      </c>
      <c r="C758" s="4" t="inlineStr">
        <is>
          <t>Cost Tracking on Closed Project</t>
        </is>
      </c>
      <c r="D758" s="4" t="inlineStr">
        <is>
          <t>Time and material</t>
        </is>
      </c>
      <c r="E758" s="4" t="inlineStr">
        <is>
          <t>Sierra</t>
        </is>
      </c>
      <c r="F758" s="4" t="inlineStr">
        <is>
          <t>Louis Huff</t>
        </is>
      </c>
      <c r="G758" s="5" t="n">
        <v>138400</v>
      </c>
      <c r="H758" s="5" t="n">
        <v>0</v>
      </c>
      <c r="I758" s="5" t="n">
        <v>0</v>
      </c>
      <c r="J758" s="5" t="n">
        <v>95191.52</v>
      </c>
      <c r="K758" s="5" t="n">
        <v>95191.52</v>
      </c>
      <c r="L758" s="5" t="n">
        <v>0</v>
      </c>
      <c r="M758" s="5" t="n">
        <v>81646.35000000001</v>
      </c>
      <c r="N758" s="5" t="n">
        <v>13545.17</v>
      </c>
      <c r="O758" s="5" t="n">
        <v>13545.17</v>
      </c>
      <c r="P758" s="4" t="n"/>
      <c r="Q758" s="6" t="n">
        <v>0</v>
      </c>
      <c r="R758" s="6" t="n">
        <v>0.8577</v>
      </c>
    </row>
    <row r="759">
      <c r="A759" s="4" t="inlineStr">
        <is>
          <t>26-PC-40690</t>
        </is>
      </c>
      <c r="B759" s="4" t="inlineStr">
        <is>
          <t>Pine Hollow Wastewater Plant - Paleontological Monitoring</t>
        </is>
      </c>
      <c r="C759" s="4" t="inlineStr">
        <is>
          <t>In Progress</t>
        </is>
      </c>
      <c r="D759" s="4" t="inlineStr">
        <is>
          <t>Time and material</t>
        </is>
      </c>
      <c r="E759" s="4" t="inlineStr">
        <is>
          <t>Coastal Bend</t>
        </is>
      </c>
      <c r="F759" s="4" t="inlineStr">
        <is>
          <t>Duane Ballard</t>
        </is>
      </c>
      <c r="G759" s="5" t="n">
        <v>252500</v>
      </c>
      <c r="H759" s="5" t="n">
        <v>101574</v>
      </c>
      <c r="I759" s="5" t="n">
        <v>100069.43</v>
      </c>
      <c r="J759" s="5" t="n">
        <v>171094</v>
      </c>
      <c r="K759" s="5" t="n">
        <v>171094</v>
      </c>
      <c r="L759" s="5" t="n">
        <v>0</v>
      </c>
      <c r="M759" s="5" t="n">
        <v>65638.21000000001</v>
      </c>
      <c r="N759" s="5" t="n">
        <v>105455.79</v>
      </c>
      <c r="O759" s="5" t="n">
        <v>105455.79</v>
      </c>
      <c r="P759" s="4" t="n"/>
      <c r="Q759" s="6" t="n">
        <v>0.402</v>
      </c>
      <c r="R759" s="6" t="n">
        <v>0.3836</v>
      </c>
    </row>
    <row r="760">
      <c r="A760" s="4" t="inlineStr">
        <is>
          <t>26-PC-40729</t>
        </is>
      </c>
      <c r="B760" s="4" t="inlineStr">
        <is>
          <t>On-Call: Dove Canyon Cell Tower Section 106 Consultation</t>
        </is>
      </c>
      <c r="C760" s="4" t="inlineStr">
        <is>
          <t>In Progress</t>
        </is>
      </c>
      <c r="D760" s="4" t="inlineStr">
        <is>
          <t>Fixed fee</t>
        </is>
      </c>
      <c r="E760" s="4" t="inlineStr">
        <is>
          <t>Coastal Bend</t>
        </is>
      </c>
      <c r="F760" s="4" t="inlineStr">
        <is>
          <t>Alexis Nixon</t>
        </is>
      </c>
      <c r="G760" s="5" t="n">
        <v>92500</v>
      </c>
      <c r="H760" s="5" t="n">
        <v>7797.75</v>
      </c>
      <c r="I760" s="5" t="n">
        <v>4889.9</v>
      </c>
      <c r="J760" s="5" t="n">
        <v>58081.13</v>
      </c>
      <c r="K760" s="5" t="n">
        <v>53482.09</v>
      </c>
      <c r="L760" s="5" t="n">
        <v>4599.04</v>
      </c>
      <c r="M760" s="5" t="n">
        <v>4896.28</v>
      </c>
      <c r="N760" s="5" t="n">
        <v>53184.85</v>
      </c>
      <c r="O760" s="5" t="n">
        <v>48585.81</v>
      </c>
      <c r="P760" s="4" t="n"/>
      <c r="Q760" s="6" t="n">
        <v>0.08400000000000001</v>
      </c>
      <c r="R760" s="6" t="n">
        <v>0.0843</v>
      </c>
    </row>
    <row r="761">
      <c r="A761" s="4" t="inlineStr">
        <is>
          <t>26-PC-40750</t>
        </is>
      </c>
      <c r="B761" s="4" t="inlineStr">
        <is>
          <t>On-Call: Willow Springs Highway Widening Historic Resources Evaluation</t>
        </is>
      </c>
      <c r="C761" s="4" t="inlineStr">
        <is>
          <t>In Progress</t>
        </is>
      </c>
      <c r="D761" s="4" t="inlineStr">
        <is>
          <t>Time and material</t>
        </is>
      </c>
      <c r="E761" s="4" t="inlineStr">
        <is>
          <t>Coastal Bend</t>
        </is>
      </c>
      <c r="F761" s="4" t="inlineStr">
        <is>
          <t>Steve Rubio</t>
        </is>
      </c>
      <c r="G761" s="5" t="n">
        <v>494600</v>
      </c>
      <c r="H761" s="5" t="n">
        <v>24206.25</v>
      </c>
      <c r="I761" s="5" t="n">
        <v>9568.26</v>
      </c>
      <c r="J761" s="5" t="n">
        <v>310521.94</v>
      </c>
      <c r="K761" s="5" t="n">
        <v>245535.75</v>
      </c>
      <c r="L761" s="5" t="n">
        <v>64986.19</v>
      </c>
      <c r="M761" s="5" t="n">
        <v>17521.7</v>
      </c>
      <c r="N761" s="5" t="n">
        <v>293000.24</v>
      </c>
      <c r="O761" s="5" t="n">
        <v>228014.05</v>
      </c>
      <c r="P761" s="4" t="n"/>
      <c r="Q761" s="6" t="n">
        <v>0.049</v>
      </c>
      <c r="R761" s="6" t="n">
        <v>0.0564</v>
      </c>
    </row>
    <row r="762">
      <c r="A762" s="4" t="inlineStr">
        <is>
          <t>26-PC-40760</t>
        </is>
      </c>
      <c r="B762" s="4" t="inlineStr">
        <is>
          <t>Foxglove Canal Lining - Archaeological Testing</t>
        </is>
      </c>
      <c r="C762" s="4" t="inlineStr">
        <is>
          <t>Final Reporting/Review</t>
        </is>
      </c>
      <c r="D762" s="4" t="inlineStr">
        <is>
          <t>Fixed fee</t>
        </is>
      </c>
      <c r="E762" s="4" t="inlineStr">
        <is>
          <t>Coastal Bend</t>
        </is>
      </c>
      <c r="F762" s="4" t="inlineStr">
        <is>
          <t>Jared Choi</t>
        </is>
      </c>
      <c r="G762" s="5" t="n">
        <v>77500</v>
      </c>
      <c r="H762" s="5" t="n">
        <v>22064.25</v>
      </c>
      <c r="I762" s="5" t="n">
        <v>19509.79</v>
      </c>
      <c r="J762" s="5" t="n">
        <v>63893.46</v>
      </c>
      <c r="K762" s="5" t="n">
        <v>46765.44</v>
      </c>
      <c r="L762" s="5" t="n">
        <v>17128.02</v>
      </c>
      <c r="M762" s="5" t="n">
        <v>18190.84</v>
      </c>
      <c r="N762" s="5" t="n">
        <v>45702.62</v>
      </c>
      <c r="O762" s="5" t="n">
        <v>28574.6</v>
      </c>
      <c r="P762" s="4" t="n"/>
      <c r="Q762" s="6" t="n">
        <v>0.285</v>
      </c>
      <c r="R762" s="6" t="n">
        <v>0.2847</v>
      </c>
    </row>
    <row r="763">
      <c r="A763" s="4" t="inlineStr">
        <is>
          <t>26-PC-40860</t>
        </is>
      </c>
      <c r="B763" s="4" t="inlineStr">
        <is>
          <t>Fern Valley Solar Data Recovery</t>
        </is>
      </c>
      <c r="C763" s="4" t="inlineStr">
        <is>
          <t>In Progress</t>
        </is>
      </c>
      <c r="D763" s="4" t="inlineStr">
        <is>
          <t>Fixed fee</t>
        </is>
      </c>
      <c r="E763" s="4" t="inlineStr">
        <is>
          <t>Coastal Bend</t>
        </is>
      </c>
      <c r="F763" s="4" t="inlineStr">
        <is>
          <t>Steve Rubio</t>
        </is>
      </c>
      <c r="G763" s="5" t="n">
        <v>181300</v>
      </c>
      <c r="H763" s="5" t="n">
        <v>41481.44</v>
      </c>
      <c r="I763" s="5" t="n">
        <v>31148.81</v>
      </c>
      <c r="J763" s="5" t="n">
        <v>145148.78</v>
      </c>
      <c r="K763" s="5" t="n">
        <v>145148.78</v>
      </c>
      <c r="L763" s="5" t="n">
        <v>0</v>
      </c>
      <c r="M763" s="5" t="n">
        <v>33204.32</v>
      </c>
      <c r="N763" s="5" t="n">
        <v>111944.46</v>
      </c>
      <c r="O763" s="5" t="n">
        <v>111944.46</v>
      </c>
      <c r="P763" s="4" t="n"/>
      <c r="Q763" s="6" t="n">
        <v>0.229</v>
      </c>
      <c r="R763" s="6" t="n">
        <v>0.2288</v>
      </c>
    </row>
    <row r="764">
      <c r="A764" s="4" t="inlineStr">
        <is>
          <t>26-PC-40966</t>
        </is>
      </c>
      <c r="B764" s="4" t="inlineStr">
        <is>
          <t>Harbor View Trail - GIS Mapping</t>
        </is>
      </c>
      <c r="C764" s="4" t="inlineStr">
        <is>
          <t>Final Reporting/Review</t>
        </is>
      </c>
      <c r="D764" s="4" t="inlineStr">
        <is>
          <t>Fixed fee</t>
        </is>
      </c>
      <c r="E764" s="4" t="inlineStr">
        <is>
          <t>Coastal Bend</t>
        </is>
      </c>
      <c r="F764" s="4" t="inlineStr">
        <is>
          <t>Duane Ballard</t>
        </is>
      </c>
      <c r="G764" s="5" t="n">
        <v>225100</v>
      </c>
      <c r="H764" s="5" t="n">
        <v>53236.15</v>
      </c>
      <c r="I764" s="5" t="n">
        <v>41568.68</v>
      </c>
      <c r="J764" s="5" t="n">
        <v>146315</v>
      </c>
      <c r="K764" s="5" t="n">
        <v>146315</v>
      </c>
      <c r="L764" s="5" t="n">
        <v>0</v>
      </c>
      <c r="M764" s="5" t="n">
        <v>34610.68</v>
      </c>
      <c r="N764" s="5" t="n">
        <v>111704.32</v>
      </c>
      <c r="O764" s="5" t="n">
        <v>111704.32</v>
      </c>
      <c r="P764" s="4" t="n"/>
      <c r="Q764" s="6" t="n">
        <v>0.236</v>
      </c>
      <c r="R764" s="6" t="n">
        <v>0.2365</v>
      </c>
    </row>
    <row r="765">
      <c r="A765" s="4" t="inlineStr">
        <is>
          <t>26-PC-40983</t>
        </is>
      </c>
      <c r="B765" s="4" t="inlineStr">
        <is>
          <t>Falcon Mesa Data Recovery</t>
        </is>
      </c>
      <c r="C765" s="4" t="inlineStr">
        <is>
          <t>Final Reporting/Review</t>
        </is>
      </c>
      <c r="D765" s="4" t="inlineStr">
        <is>
          <t>Fixed fee</t>
        </is>
      </c>
      <c r="E765" s="4" t="inlineStr">
        <is>
          <t>Coastal Bend</t>
        </is>
      </c>
      <c r="F765" s="4" t="inlineStr">
        <is>
          <t>Jared Choi</t>
        </is>
      </c>
      <c r="G765" s="5" t="n">
        <v>7200</v>
      </c>
      <c r="H765" s="5" t="n">
        <v>5618.88</v>
      </c>
      <c r="I765" s="5" t="n">
        <v>4989.63</v>
      </c>
      <c r="J765" s="5" t="n">
        <v>6217.91</v>
      </c>
      <c r="K765" s="5" t="n">
        <v>4906.72</v>
      </c>
      <c r="L765" s="5" t="n">
        <v>1311.19</v>
      </c>
      <c r="M765" s="5" t="n">
        <v>4852.67</v>
      </c>
      <c r="N765" s="5" t="n">
        <v>1365.24</v>
      </c>
      <c r="O765" s="5" t="n">
        <v>54.05000000000018</v>
      </c>
      <c r="P765" s="4" t="n"/>
      <c r="Q765" s="6" t="n">
        <v>0.78</v>
      </c>
      <c r="R765" s="6" t="n">
        <v>0.7804</v>
      </c>
    </row>
    <row r="766">
      <c r="A766" s="4" t="inlineStr">
        <is>
          <t>26-PC-41005</t>
        </is>
      </c>
      <c r="B766" s="4" t="inlineStr">
        <is>
          <t>Juniper Wash Architectural History Survey</t>
        </is>
      </c>
      <c r="C766" s="4" t="inlineStr">
        <is>
          <t>In Progress</t>
        </is>
      </c>
      <c r="D766" s="4" t="inlineStr">
        <is>
          <t>Time and material</t>
        </is>
      </c>
      <c r="E766" s="4" t="inlineStr">
        <is>
          <t>Coastal Bend</t>
        </is>
      </c>
      <c r="F766" s="4" t="inlineStr">
        <is>
          <t>Duane Ballard</t>
        </is>
      </c>
      <c r="G766" s="5" t="n">
        <v>60000</v>
      </c>
      <c r="H766" s="5" t="n">
        <v>4026</v>
      </c>
      <c r="I766" s="5" t="n">
        <v>2895.23</v>
      </c>
      <c r="J766" s="5" t="n">
        <v>38934</v>
      </c>
      <c r="K766" s="5" t="n">
        <v>38934</v>
      </c>
      <c r="L766" s="5" t="n">
        <v>0</v>
      </c>
      <c r="M766" s="5" t="n">
        <v>2404.38</v>
      </c>
      <c r="N766" s="5" t="n">
        <v>36529.62</v>
      </c>
      <c r="O766" s="5" t="n">
        <v>36529.62</v>
      </c>
      <c r="P766" s="4" t="n"/>
      <c r="Q766" s="6" t="n">
        <v>0.067</v>
      </c>
      <c r="R766" s="6" t="n">
        <v>0.0618</v>
      </c>
    </row>
    <row r="767">
      <c r="A767" s="4" t="inlineStr">
        <is>
          <t>26-PC-41048</t>
        </is>
      </c>
      <c r="B767" s="4" t="inlineStr">
        <is>
          <t>Task Order 33: Granite Pass Battery Storage Phase I Survey</t>
        </is>
      </c>
      <c r="C767" s="4" t="inlineStr">
        <is>
          <t>In Progress</t>
        </is>
      </c>
      <c r="D767" s="4" t="inlineStr">
        <is>
          <t>Time and material</t>
        </is>
      </c>
      <c r="E767" s="4" t="inlineStr">
        <is>
          <t>Coastal Bend</t>
        </is>
      </c>
      <c r="F767" s="4" t="inlineStr">
        <is>
          <t>Jared Choi</t>
        </is>
      </c>
      <c r="G767" s="5" t="n">
        <v>458200</v>
      </c>
      <c r="H767" s="5" t="n">
        <v>126518.5</v>
      </c>
      <c r="I767" s="5" t="n">
        <v>82360.74000000001</v>
      </c>
      <c r="J767" s="5" t="n">
        <v>315149.96</v>
      </c>
      <c r="K767" s="5" t="n">
        <v>315149.96</v>
      </c>
      <c r="L767" s="5" t="n">
        <v>0</v>
      </c>
      <c r="M767" s="5" t="n">
        <v>88143.14999999999</v>
      </c>
      <c r="N767" s="5" t="n">
        <v>227006.81</v>
      </c>
      <c r="O767" s="5" t="n">
        <v>227006.81</v>
      </c>
      <c r="P767" s="4" t="n"/>
      <c r="Q767" s="6" t="n">
        <v>0.276</v>
      </c>
      <c r="R767" s="6" t="n">
        <v>0.2797</v>
      </c>
    </row>
    <row r="768">
      <c r="A768" s="4" t="inlineStr">
        <is>
          <t>26-PC-41130</t>
        </is>
      </c>
      <c r="B768" s="4" t="inlineStr">
        <is>
          <t>Harbor View Highway Widening Data Recovery</t>
        </is>
      </c>
      <c r="C768" s="4" t="inlineStr">
        <is>
          <t>Cost Tracking on Closed Project</t>
        </is>
      </c>
      <c r="D768" s="4" t="inlineStr">
        <is>
          <t>Time and material</t>
        </is>
      </c>
      <c r="E768" s="4" t="inlineStr">
        <is>
          <t>Coastal Bend</t>
        </is>
      </c>
      <c r="F768" s="4" t="inlineStr">
        <is>
          <t>Steve Rubio</t>
        </is>
      </c>
      <c r="G768" s="5" t="n">
        <v>290300</v>
      </c>
      <c r="H768" s="5" t="n">
        <v>0</v>
      </c>
      <c r="I768" s="5" t="n">
        <v>0</v>
      </c>
      <c r="J768" s="5" t="n">
        <v>219699.04</v>
      </c>
      <c r="K768" s="5" t="n">
        <v>219699.04</v>
      </c>
      <c r="L768" s="5" t="n">
        <v>0</v>
      </c>
      <c r="M768" s="5" t="n">
        <v>201136.18</v>
      </c>
      <c r="N768" s="5" t="n">
        <v>18562.86000000002</v>
      </c>
      <c r="O768" s="5" t="n">
        <v>18562.86000000002</v>
      </c>
      <c r="P768" s="4" t="n"/>
      <c r="Q768" s="6" t="n">
        <v>0</v>
      </c>
      <c r="R768" s="6" t="n">
        <v>0.9155</v>
      </c>
    </row>
    <row r="769">
      <c r="A769" s="4" t="inlineStr">
        <is>
          <t>26-PC-41176</t>
        </is>
      </c>
      <c r="B769" s="4" t="inlineStr">
        <is>
          <t>Wildrye Park Improvements - Environmental Review Support</t>
        </is>
      </c>
      <c r="C769" s="4" t="inlineStr">
        <is>
          <t>Final Reporting/Review</t>
        </is>
      </c>
      <c r="D769" s="4" t="inlineStr">
        <is>
          <t>Fixed fee</t>
        </is>
      </c>
      <c r="E769" s="4" t="inlineStr">
        <is>
          <t>Coastal Bend</t>
        </is>
      </c>
      <c r="F769" s="4" t="inlineStr">
        <is>
          <t>Steve Rubio</t>
        </is>
      </c>
      <c r="G769" s="5" t="n">
        <v>109400</v>
      </c>
      <c r="H769" s="5" t="n">
        <v>40401.42</v>
      </c>
      <c r="I769" s="5" t="n">
        <v>34591.32</v>
      </c>
      <c r="J769" s="5" t="n">
        <v>81568.64</v>
      </c>
      <c r="K769" s="5" t="n">
        <v>81568.64</v>
      </c>
      <c r="L769" s="5" t="n">
        <v>0</v>
      </c>
      <c r="M769" s="5" t="n">
        <v>30126.95</v>
      </c>
      <c r="N769" s="5" t="n">
        <v>51441.69</v>
      </c>
      <c r="O769" s="5" t="n">
        <v>51441.69</v>
      </c>
      <c r="P769" s="4" t="n"/>
      <c r="Q769" s="6" t="n">
        <v>0.369</v>
      </c>
      <c r="R769" s="6" t="n">
        <v>0.3693</v>
      </c>
    </row>
    <row r="770">
      <c r="A770" s="4" t="inlineStr">
        <is>
          <t>26-PC-41202</t>
        </is>
      </c>
      <c r="B770" s="4" t="inlineStr">
        <is>
          <t>Quail Run Bridge Replacement Phase I Survey</t>
        </is>
      </c>
      <c r="C770" s="4" t="inlineStr">
        <is>
          <t>In Progress</t>
        </is>
      </c>
      <c r="D770" s="4" t="inlineStr">
        <is>
          <t>Fixed fee</t>
        </is>
      </c>
      <c r="E770" s="4" t="inlineStr">
        <is>
          <t>Coastal Bend</t>
        </is>
      </c>
      <c r="F770" s="4" t="inlineStr">
        <is>
          <t>Jared Choi</t>
        </is>
      </c>
      <c r="G770" s="5" t="n">
        <v>41400</v>
      </c>
      <c r="H770" s="5" t="n">
        <v>41400</v>
      </c>
      <c r="I770" s="5" t="n">
        <v>41400</v>
      </c>
      <c r="J770" s="5" t="n">
        <v>27278.33</v>
      </c>
      <c r="K770" s="5" t="n">
        <v>19877.52</v>
      </c>
      <c r="L770" s="5" t="n">
        <v>7400.81</v>
      </c>
      <c r="M770" s="5" t="n">
        <v>30232.83</v>
      </c>
      <c r="N770" s="5" t="n">
        <v>-2954.5</v>
      </c>
      <c r="O770" s="5" t="n">
        <v>-10355.31</v>
      </c>
      <c r="P770" s="4" t="n"/>
      <c r="Q770" s="6" t="n">
        <v>1</v>
      </c>
      <c r="R770" s="6" t="n">
        <v>1.1083</v>
      </c>
    </row>
    <row r="771">
      <c r="A771" s="4" t="inlineStr">
        <is>
          <t>26-PC-41222</t>
        </is>
      </c>
      <c r="B771" s="4" t="inlineStr">
        <is>
          <t>Sage Flat Transmission Line - Cultural Resources Assessment</t>
        </is>
      </c>
      <c r="C771" s="4" t="inlineStr">
        <is>
          <t>In Progress</t>
        </is>
      </c>
      <c r="D771" s="4" t="inlineStr">
        <is>
          <t>Time and material</t>
        </is>
      </c>
      <c r="E771" s="4" t="inlineStr">
        <is>
          <t>Coastal Bend</t>
        </is>
      </c>
      <c r="F771" s="4" t="inlineStr">
        <is>
          <t>Alexis Nixon</t>
        </is>
      </c>
      <c r="G771" s="5" t="n">
        <v>26000</v>
      </c>
      <c r="H771" s="5" t="n">
        <v>5460</v>
      </c>
      <c r="I771" s="5" t="n">
        <v>3035.93</v>
      </c>
      <c r="J771" s="5" t="n">
        <v>18522.4</v>
      </c>
      <c r="K771" s="5" t="n">
        <v>18522.4</v>
      </c>
      <c r="L771" s="5" t="n">
        <v>0</v>
      </c>
      <c r="M771" s="5" t="n">
        <v>3158.62</v>
      </c>
      <c r="N771" s="5" t="n">
        <v>15363.78</v>
      </c>
      <c r="O771" s="5" t="n">
        <v>15363.78</v>
      </c>
      <c r="P771" s="4" t="n"/>
      <c r="Q771" s="6" t="n">
        <v>0.21</v>
      </c>
      <c r="R771" s="6" t="n">
        <v>0.1705</v>
      </c>
    </row>
    <row r="772">
      <c r="A772" s="4" t="inlineStr">
        <is>
          <t>26-PC-41230</t>
        </is>
      </c>
      <c r="B772" s="4" t="inlineStr">
        <is>
          <t>Phase I: Slate Ridge Battery Storage Phase I Survey</t>
        </is>
      </c>
      <c r="C772" s="4" t="inlineStr">
        <is>
          <t>In Progress</t>
        </is>
      </c>
      <c r="D772" s="4" t="inlineStr">
        <is>
          <t>Fixed fee</t>
        </is>
      </c>
      <c r="E772" s="4" t="inlineStr">
        <is>
          <t>Coastal Bend</t>
        </is>
      </c>
      <c r="F772" s="4" t="inlineStr">
        <is>
          <t>Alexis Nixon</t>
        </is>
      </c>
      <c r="G772" s="5" t="n">
        <v>46400</v>
      </c>
      <c r="H772" s="5" t="n">
        <v>16425.6</v>
      </c>
      <c r="I772" s="5" t="n">
        <v>9235.190000000001</v>
      </c>
      <c r="J772" s="5" t="n">
        <v>35769.76</v>
      </c>
      <c r="K772" s="5" t="n">
        <v>35769.76</v>
      </c>
      <c r="L772" s="5" t="n">
        <v>0</v>
      </c>
      <c r="M772" s="5" t="n">
        <v>12661.46</v>
      </c>
      <c r="N772" s="5" t="n">
        <v>23108.3</v>
      </c>
      <c r="O772" s="5" t="n">
        <v>23108.3</v>
      </c>
      <c r="P772" s="4" t="n"/>
      <c r="Q772" s="6" t="n">
        <v>0.354</v>
      </c>
      <c r="R772" s="6" t="n">
        <v>0.354</v>
      </c>
    </row>
    <row r="773">
      <c r="A773" s="4" t="inlineStr">
        <is>
          <t>26-PC-41334</t>
        </is>
      </c>
      <c r="B773" s="4" t="inlineStr">
        <is>
          <t>Fern Valley Housing Development - Data Recovery</t>
        </is>
      </c>
      <c r="C773" s="4" t="inlineStr">
        <is>
          <t>In Progress</t>
        </is>
      </c>
      <c r="D773" s="4" t="inlineStr">
        <is>
          <t>Fixed fee</t>
        </is>
      </c>
      <c r="E773" s="4" t="inlineStr">
        <is>
          <t>Coastal Bend</t>
        </is>
      </c>
      <c r="F773" s="4" t="inlineStr">
        <is>
          <t>Duane Ballard</t>
        </is>
      </c>
      <c r="G773" s="5" t="n">
        <v>154000</v>
      </c>
      <c r="H773" s="5" t="n">
        <v>105967.4</v>
      </c>
      <c r="I773" s="5" t="n">
        <v>97190.14</v>
      </c>
      <c r="J773" s="5" t="n">
        <v>99198.32000000001</v>
      </c>
      <c r="K773" s="5" t="n">
        <v>88810.03999999999</v>
      </c>
      <c r="L773" s="5" t="n">
        <v>10388.28</v>
      </c>
      <c r="M773" s="5" t="n">
        <v>68260.63</v>
      </c>
      <c r="N773" s="5" t="n">
        <v>30937.69</v>
      </c>
      <c r="O773" s="5" t="n">
        <v>20549.40999999999</v>
      </c>
      <c r="P773" s="4" t="n"/>
      <c r="Q773" s="6" t="n">
        <v>0.6879999999999999</v>
      </c>
      <c r="R773" s="6" t="n">
        <v>0.6881</v>
      </c>
    </row>
    <row r="774">
      <c r="A774" s="4" t="inlineStr">
        <is>
          <t>26-PC-41386</t>
        </is>
      </c>
      <c r="B774" s="4" t="inlineStr">
        <is>
          <t>Task Order 11: Slate Ridge Harbor Dredging Class III Survey</t>
        </is>
      </c>
      <c r="C774" s="4" t="inlineStr">
        <is>
          <t>In Progress</t>
        </is>
      </c>
      <c r="D774" s="4" t="inlineStr">
        <is>
          <t>Fixed fee</t>
        </is>
      </c>
      <c r="E774" s="4" t="inlineStr">
        <is>
          <t>Coastal Bend</t>
        </is>
      </c>
      <c r="F774" s="4" t="inlineStr">
        <is>
          <t>Alexis Nixon</t>
        </is>
      </c>
      <c r="G774" s="5" t="n">
        <v>302700</v>
      </c>
      <c r="H774" s="5" t="n">
        <v>11260.44</v>
      </c>
      <c r="I774" s="5" t="n">
        <v>5037.07</v>
      </c>
      <c r="J774" s="5" t="n">
        <v>209680.29</v>
      </c>
      <c r="K774" s="5" t="n">
        <v>209680.29</v>
      </c>
      <c r="L774" s="5" t="n">
        <v>0</v>
      </c>
      <c r="M774" s="5" t="n">
        <v>7795.4</v>
      </c>
      <c r="N774" s="5" t="n">
        <v>201884.89</v>
      </c>
      <c r="O774" s="5" t="n">
        <v>201884.89</v>
      </c>
      <c r="P774" s="4" t="n"/>
      <c r="Q774" s="6" t="n">
        <v>0.037</v>
      </c>
      <c r="R774" s="6" t="n">
        <v>0.0372</v>
      </c>
    </row>
    <row r="775">
      <c r="A775" s="4" t="inlineStr">
        <is>
          <t>26-PC-41394</t>
        </is>
      </c>
      <c r="B775" s="4" t="inlineStr">
        <is>
          <t>Maple Fork Bridge Replacement - Class III Survey</t>
        </is>
      </c>
      <c r="C775" s="4" t="inlineStr">
        <is>
          <t>Cost Tracking on Closed Project</t>
        </is>
      </c>
      <c r="D775" s="4" t="inlineStr">
        <is>
          <t>Fixed fee</t>
        </is>
      </c>
      <c r="E775" s="4" t="inlineStr">
        <is>
          <t>Coastal Bend</t>
        </is>
      </c>
      <c r="F775" s="4" t="inlineStr">
        <is>
          <t>Duane Ballard</t>
        </is>
      </c>
      <c r="G775" s="5" t="n">
        <v>15700</v>
      </c>
      <c r="H775" s="5" t="n">
        <v>14005.97</v>
      </c>
      <c r="I775" s="5" t="n">
        <v>14005.97</v>
      </c>
      <c r="J775" s="5" t="n">
        <v>11219.22</v>
      </c>
      <c r="K775" s="5" t="n">
        <v>11219.22</v>
      </c>
      <c r="L775" s="5" t="n">
        <v>0</v>
      </c>
      <c r="M775" s="5" t="n">
        <v>10008.86</v>
      </c>
      <c r="N775" s="5" t="n">
        <v>1210.359999999999</v>
      </c>
      <c r="O775" s="5" t="n">
        <v>1210.359999999999</v>
      </c>
      <c r="P775" s="4" t="n"/>
      <c r="Q775" s="6" t="n">
        <v>0.892</v>
      </c>
      <c r="R775" s="6" t="n">
        <v>0.8921</v>
      </c>
    </row>
    <row r="776">
      <c r="A776" s="4" t="inlineStr">
        <is>
          <t>26-PC-41406</t>
        </is>
      </c>
      <c r="B776" s="4" t="inlineStr">
        <is>
          <t>Task Order 27: Dove Canyon Battery Storage Section 106 Consultation</t>
        </is>
      </c>
      <c r="C776" s="4" t="inlineStr">
        <is>
          <t>In Progress</t>
        </is>
      </c>
      <c r="D776" s="4" t="inlineStr">
        <is>
          <t>Fixed fee</t>
        </is>
      </c>
      <c r="E776" s="4" t="inlineStr">
        <is>
          <t>Coastal Bend</t>
        </is>
      </c>
      <c r="F776" s="4" t="inlineStr">
        <is>
          <t>Alexis Nixon</t>
        </is>
      </c>
      <c r="G776" s="5" t="n">
        <v>381600</v>
      </c>
      <c r="H776" s="5" t="n">
        <v>155540.16</v>
      </c>
      <c r="I776" s="5" t="n">
        <v>139465.09</v>
      </c>
      <c r="J776" s="5" t="n">
        <v>257192.06</v>
      </c>
      <c r="K776" s="5" t="n">
        <v>187803.42</v>
      </c>
      <c r="L776" s="5" t="n">
        <v>69388.64</v>
      </c>
      <c r="M776" s="5" t="n">
        <v>104836.49</v>
      </c>
      <c r="N776" s="5" t="n">
        <v>152355.57</v>
      </c>
      <c r="O776" s="5" t="n">
        <v>82966.93000000001</v>
      </c>
      <c r="P776" s="4" t="n"/>
      <c r="Q776" s="6" t="n">
        <v>0.408</v>
      </c>
      <c r="R776" s="6" t="n">
        <v>0.4076</v>
      </c>
    </row>
    <row r="777">
      <c r="A777" s="4" t="inlineStr">
        <is>
          <t>26-PC-41425</t>
        </is>
      </c>
      <c r="B777" s="4" t="inlineStr">
        <is>
          <t>Pebble Beach Road GIS Mapping</t>
        </is>
      </c>
      <c r="C777" s="4" t="inlineStr">
        <is>
          <t>Transferred Entity</t>
        </is>
      </c>
      <c r="D777" s="4" t="inlineStr">
        <is>
          <t>Time and material</t>
        </is>
      </c>
      <c r="E777" s="4" t="inlineStr">
        <is>
          <t>Coastal Bend</t>
        </is>
      </c>
      <c r="F777" s="4" t="inlineStr">
        <is>
          <t>Steve Rubio</t>
        </is>
      </c>
      <c r="G777" s="5" t="n">
        <v>268700</v>
      </c>
      <c r="H777" s="5" t="n">
        <v>99208</v>
      </c>
      <c r="I777" s="5" t="n">
        <v>55597.03</v>
      </c>
      <c r="J777" s="5" t="n">
        <v>183253.4</v>
      </c>
      <c r="K777" s="5" t="n">
        <v>183253.4</v>
      </c>
      <c r="L777" s="5" t="n">
        <v>0</v>
      </c>
      <c r="M777" s="5" t="n">
        <v>63737.62</v>
      </c>
      <c r="N777" s="5" t="n">
        <v>119515.78</v>
      </c>
      <c r="O777" s="5" t="n">
        <v>119515.78</v>
      </c>
      <c r="P777" s="4" t="n"/>
      <c r="Q777" s="6" t="n">
        <v>0.369</v>
      </c>
      <c r="R777" s="6" t="n">
        <v>0.3478</v>
      </c>
    </row>
    <row r="778">
      <c r="A778" s="4" t="inlineStr">
        <is>
          <t>26-PC-41446</t>
        </is>
      </c>
      <c r="B778" s="4" t="inlineStr">
        <is>
          <t>Stone Mill Levee Repair Archaeological Testing</t>
        </is>
      </c>
      <c r="C778" s="4" t="inlineStr">
        <is>
          <t>In Progress</t>
        </is>
      </c>
      <c r="D778" s="4" t="inlineStr">
        <is>
          <t>Time and material</t>
        </is>
      </c>
      <c r="E778" s="4" t="inlineStr">
        <is>
          <t>Coastal Bend</t>
        </is>
      </c>
      <c r="F778" s="4" t="inlineStr">
        <is>
          <t>Jared Choi</t>
        </is>
      </c>
      <c r="G778" s="5" t="n">
        <v>263000</v>
      </c>
      <c r="H778" s="5" t="n">
        <v>0</v>
      </c>
      <c r="I778" s="5" t="n">
        <v>0</v>
      </c>
      <c r="J778" s="5" t="n">
        <v>172291.3</v>
      </c>
      <c r="K778" s="5" t="n">
        <v>172291.3</v>
      </c>
      <c r="L778" s="5" t="n">
        <v>0</v>
      </c>
      <c r="M778" s="5" t="n">
        <v>0</v>
      </c>
      <c r="N778" s="5" t="n">
        <v>172291.3</v>
      </c>
      <c r="O778" s="5" t="n">
        <v>172291.3</v>
      </c>
      <c r="P778" s="4" t="n"/>
      <c r="Q778" s="6" t="n">
        <v>0</v>
      </c>
      <c r="R778" s="6" t="n">
        <v>0</v>
      </c>
    </row>
    <row r="779">
      <c r="A779" s="4" t="inlineStr">
        <is>
          <t>26-PC-41466</t>
        </is>
      </c>
      <c r="B779" s="4" t="inlineStr">
        <is>
          <t>Millbrook Cultural Resources Assessment</t>
        </is>
      </c>
      <c r="C779" s="4" t="inlineStr">
        <is>
          <t>Lab/Curation</t>
        </is>
      </c>
      <c r="D779" s="4" t="inlineStr">
        <is>
          <t>Time and material</t>
        </is>
      </c>
      <c r="E779" s="4" t="inlineStr">
        <is>
          <t>Coastal Bend</t>
        </is>
      </c>
      <c r="F779" s="4" t="inlineStr">
        <is>
          <t>Alexis Nixon</t>
        </is>
      </c>
      <c r="G779" s="5" t="n">
        <v>857800</v>
      </c>
      <c r="H779" s="5" t="n">
        <v>255216.5</v>
      </c>
      <c r="I779" s="5" t="n">
        <v>255216.5</v>
      </c>
      <c r="J779" s="5" t="n">
        <v>634085.76</v>
      </c>
      <c r="K779" s="5" t="n">
        <v>634085.76</v>
      </c>
      <c r="L779" s="5" t="n">
        <v>0</v>
      </c>
      <c r="M779" s="5" t="n">
        <v>178651.18</v>
      </c>
      <c r="N779" s="5" t="n">
        <v>455434.58</v>
      </c>
      <c r="O779" s="5" t="n">
        <v>455434.58</v>
      </c>
      <c r="P779" s="4" t="n"/>
      <c r="Q779" s="6" t="n">
        <v>0.298</v>
      </c>
      <c r="R779" s="6" t="n">
        <v>0.2817</v>
      </c>
    </row>
    <row r="780">
      <c r="A780" s="4" t="inlineStr">
        <is>
          <t>26-PC-41575</t>
        </is>
      </c>
      <c r="B780" s="4" t="inlineStr">
        <is>
          <t>Juniper Wash Highway Widening - Section 106 Consultation</t>
        </is>
      </c>
      <c r="C780" s="4" t="inlineStr">
        <is>
          <t>In Progress</t>
        </is>
      </c>
      <c r="D780" s="4" t="inlineStr">
        <is>
          <t>Fixed fee</t>
        </is>
      </c>
      <c r="E780" s="4" t="inlineStr">
        <is>
          <t>Coastal Bend</t>
        </is>
      </c>
      <c r="F780" s="4" t="inlineStr">
        <is>
          <t>Diane Daniels</t>
        </is>
      </c>
      <c r="G780" s="5" t="n">
        <v>131400</v>
      </c>
      <c r="H780" s="5" t="n">
        <v>13613.04</v>
      </c>
      <c r="I780" s="5" t="n">
        <v>5545.27</v>
      </c>
      <c r="J780" s="5" t="n">
        <v>100941.48</v>
      </c>
      <c r="K780" s="5" t="n">
        <v>100941.48</v>
      </c>
      <c r="L780" s="5" t="n">
        <v>0</v>
      </c>
      <c r="M780" s="5" t="n">
        <v>10453.11</v>
      </c>
      <c r="N780" s="5" t="n">
        <v>90488.37</v>
      </c>
      <c r="O780" s="5" t="n">
        <v>90488.37</v>
      </c>
      <c r="P780" s="4" t="n"/>
      <c r="Q780" s="6" t="n">
        <v>0.104</v>
      </c>
      <c r="R780" s="6" t="n">
        <v>0.1036</v>
      </c>
    </row>
    <row r="781">
      <c r="A781" s="4" t="inlineStr">
        <is>
          <t>26-PC-41644</t>
        </is>
      </c>
      <c r="B781" s="4" t="inlineStr">
        <is>
          <t>Granite Pass Built Environment Survey</t>
        </is>
      </c>
      <c r="C781" s="4" t="inlineStr">
        <is>
          <t>Transferred Entity</t>
        </is>
      </c>
      <c r="D781" s="4" t="inlineStr">
        <is>
          <t>Fixed fee</t>
        </is>
      </c>
      <c r="E781" s="4" t="inlineStr">
        <is>
          <t>Coastal Bend</t>
        </is>
      </c>
      <c r="F781" s="4" t="inlineStr">
        <is>
          <t>Alexis Nixon</t>
        </is>
      </c>
      <c r="G781" s="5" t="n">
        <v>330600</v>
      </c>
      <c r="H781" s="5" t="n">
        <v>66384.48</v>
      </c>
      <c r="I781" s="5" t="n">
        <v>36012.37</v>
      </c>
      <c r="J781" s="5" t="n">
        <v>258297.78</v>
      </c>
      <c r="K781" s="5" t="n">
        <v>258297.78</v>
      </c>
      <c r="L781" s="5" t="n">
        <v>0</v>
      </c>
      <c r="M781" s="5" t="n">
        <v>51878.28</v>
      </c>
      <c r="N781" s="5" t="n">
        <v>206419.5</v>
      </c>
      <c r="O781" s="5" t="n">
        <v>206419.5</v>
      </c>
      <c r="P781" s="4" t="n"/>
      <c r="Q781" s="6" t="n">
        <v>0.201</v>
      </c>
      <c r="R781" s="6" t="n">
        <v>0.2008</v>
      </c>
    </row>
    <row r="782">
      <c r="A782" s="4" t="inlineStr">
        <is>
          <t>26-PC-41661</t>
        </is>
      </c>
      <c r="B782" s="4" t="inlineStr">
        <is>
          <t>Ember Valley Levee Repair Data Recovery</t>
        </is>
      </c>
      <c r="C782" s="4" t="inlineStr">
        <is>
          <t>In Progress</t>
        </is>
      </c>
      <c r="D782" s="4" t="inlineStr">
        <is>
          <t>Fixed fee</t>
        </is>
      </c>
      <c r="E782" s="4" t="inlineStr">
        <is>
          <t>Coastal Bend</t>
        </is>
      </c>
      <c r="F782" s="4" t="inlineStr">
        <is>
          <t>Diane Daniels</t>
        </is>
      </c>
      <c r="G782" s="5" t="n">
        <v>4800</v>
      </c>
      <c r="H782" s="5" t="n">
        <v>4800</v>
      </c>
      <c r="I782" s="5" t="n">
        <v>1827.9</v>
      </c>
      <c r="J782" s="5" t="n">
        <v>4028.16</v>
      </c>
      <c r="K782" s="5" t="n">
        <v>4028.16</v>
      </c>
      <c r="L782" s="5" t="n">
        <v>0</v>
      </c>
      <c r="M782" s="5" t="n">
        <v>4393.64</v>
      </c>
      <c r="N782" s="5" t="n">
        <v>-365.4800000000005</v>
      </c>
      <c r="O782" s="5" t="n">
        <v>-365.4800000000005</v>
      </c>
      <c r="P782" s="4" t="n"/>
      <c r="Q782" s="6" t="n">
        <v>1</v>
      </c>
      <c r="R782" s="6" t="n">
        <v>1.0907</v>
      </c>
    </row>
    <row r="783">
      <c r="A783" s="4" t="inlineStr">
        <is>
          <t>26-PC-41667</t>
        </is>
      </c>
      <c r="B783" s="4" t="inlineStr">
        <is>
          <t>Kestrel Butte Transmission Line - Historic Resources Evaluation</t>
        </is>
      </c>
      <c r="C783" s="4" t="inlineStr">
        <is>
          <t>In Progress</t>
        </is>
      </c>
      <c r="D783" s="4" t="inlineStr">
        <is>
          <t>Time and material</t>
        </is>
      </c>
      <c r="E783" s="4" t="inlineStr">
        <is>
          <t>Coastal Bend</t>
        </is>
      </c>
      <c r="F783" s="4" t="inlineStr">
        <is>
          <t>Duane Ballard</t>
        </is>
      </c>
      <c r="G783" s="5" t="n">
        <v>131800</v>
      </c>
      <c r="H783" s="5" t="n">
        <v>127576.25</v>
      </c>
      <c r="I783" s="5" t="n">
        <v>93060.17999999999</v>
      </c>
      <c r="J783" s="5" t="n">
        <v>98659.53999999999</v>
      </c>
      <c r="K783" s="5" t="n">
        <v>84109.2</v>
      </c>
      <c r="L783" s="5" t="n">
        <v>14550.34</v>
      </c>
      <c r="M783" s="5" t="n">
        <v>81942.27</v>
      </c>
      <c r="N783" s="5" t="n">
        <v>16717.26999999999</v>
      </c>
      <c r="O783" s="5" t="n">
        <v>2166.929999999993</v>
      </c>
      <c r="P783" s="4" t="n"/>
      <c r="Q783" s="6" t="n">
        <v>0.968</v>
      </c>
      <c r="R783" s="6" t="n">
        <v>0.8306</v>
      </c>
    </row>
    <row r="784">
      <c r="A784" s="4" t="inlineStr">
        <is>
          <t>26-PC-41683</t>
        </is>
      </c>
      <c r="B784" s="4" t="inlineStr">
        <is>
          <t>On-Call: Slate Ridge Levee Repair Built Environment Survey</t>
        </is>
      </c>
      <c r="C784" s="4" t="inlineStr">
        <is>
          <t>In Progress</t>
        </is>
      </c>
      <c r="D784" s="4" t="inlineStr">
        <is>
          <t>Fixed fee</t>
        </is>
      </c>
      <c r="E784" s="4" t="inlineStr">
        <is>
          <t>Built Environment</t>
        </is>
      </c>
      <c r="F784" s="4" t="inlineStr">
        <is>
          <t>Jesse Maynard</t>
        </is>
      </c>
      <c r="G784" s="5" t="n">
        <v>250100</v>
      </c>
      <c r="H784" s="5" t="n">
        <v>6877.75</v>
      </c>
      <c r="I784" s="5" t="n">
        <v>1667.12</v>
      </c>
      <c r="J784" s="5" t="n">
        <v>169042.59</v>
      </c>
      <c r="K784" s="5" t="n">
        <v>169042.59</v>
      </c>
      <c r="L784" s="5" t="n">
        <v>0</v>
      </c>
      <c r="M784" s="5" t="n">
        <v>4642.33</v>
      </c>
      <c r="N784" s="5" t="n">
        <v>164400.26</v>
      </c>
      <c r="O784" s="5" t="n">
        <v>164400.26</v>
      </c>
      <c r="P784" s="4" t="n"/>
      <c r="Q784" s="6" t="n">
        <v>0.028</v>
      </c>
      <c r="R784" s="6" t="n">
        <v>0.0275</v>
      </c>
    </row>
    <row r="785">
      <c r="A785" s="4" t="inlineStr">
        <is>
          <t>26-PC-41707</t>
        </is>
      </c>
      <c r="B785" s="4" t="inlineStr">
        <is>
          <t>Quail Run Solar Environmental Review Support</t>
        </is>
      </c>
      <c r="C785" s="4" t="inlineStr">
        <is>
          <t>Final Reporting/Review</t>
        </is>
      </c>
      <c r="D785" s="4" t="inlineStr">
        <is>
          <t>Fixed fee</t>
        </is>
      </c>
      <c r="E785" s="4" t="inlineStr">
        <is>
          <t>Built Environment</t>
        </is>
      </c>
      <c r="F785" s="4" t="inlineStr">
        <is>
          <t>Jenny Wilkinson</t>
        </is>
      </c>
      <c r="G785" s="5" t="n">
        <v>27000</v>
      </c>
      <c r="H785" s="5" t="n">
        <v>6966</v>
      </c>
      <c r="I785" s="5" t="n">
        <v>3982.77</v>
      </c>
      <c r="J785" s="5" t="n">
        <v>20358</v>
      </c>
      <c r="K785" s="5" t="n">
        <v>20358</v>
      </c>
      <c r="L785" s="5" t="n">
        <v>0</v>
      </c>
      <c r="M785" s="5" t="n">
        <v>5252.61</v>
      </c>
      <c r="N785" s="5" t="n">
        <v>15105.39</v>
      </c>
      <c r="O785" s="5" t="n">
        <v>15105.39</v>
      </c>
      <c r="P785" s="4" t="n"/>
      <c r="Q785" s="6" t="n">
        <v>0.258</v>
      </c>
      <c r="R785" s="6" t="n">
        <v>0.258</v>
      </c>
    </row>
    <row r="786">
      <c r="A786" s="4" t="inlineStr">
        <is>
          <t>26-PC-41721</t>
        </is>
      </c>
      <c r="B786" s="4" t="inlineStr">
        <is>
          <t>Thistle Down Curation</t>
        </is>
      </c>
      <c r="C786" s="4" t="inlineStr">
        <is>
          <t>In Progress</t>
        </is>
      </c>
      <c r="D786" s="4" t="inlineStr">
        <is>
          <t>Time and material</t>
        </is>
      </c>
      <c r="E786" s="4" t="inlineStr">
        <is>
          <t>Built Environment</t>
        </is>
      </c>
      <c r="F786" s="4" t="inlineStr">
        <is>
          <t>Melody Holloway</t>
        </is>
      </c>
      <c r="G786" s="5" t="n">
        <v>67700</v>
      </c>
      <c r="H786" s="5" t="n">
        <v>36183</v>
      </c>
      <c r="I786" s="5" t="n">
        <v>31888.77</v>
      </c>
      <c r="J786" s="5" t="n">
        <v>46692.69</v>
      </c>
      <c r="K786" s="5" t="n">
        <v>46692.69</v>
      </c>
      <c r="L786" s="5" t="n">
        <v>0</v>
      </c>
      <c r="M786" s="5" t="n">
        <v>23748.7</v>
      </c>
      <c r="N786" s="5" t="n">
        <v>22943.99</v>
      </c>
      <c r="O786" s="5" t="n">
        <v>22943.99</v>
      </c>
      <c r="P786" s="4" t="n"/>
      <c r="Q786" s="6" t="n">
        <v>0.534</v>
      </c>
      <c r="R786" s="6" t="n">
        <v>0.5086000000000001</v>
      </c>
    </row>
    <row r="787">
      <c r="A787" s="4" t="inlineStr">
        <is>
          <t>26-PC-41739</t>
        </is>
      </c>
      <c r="B787" s="4" t="inlineStr">
        <is>
          <t>Slate Ridge Historic Resources Evaluation</t>
        </is>
      </c>
      <c r="C787" s="4" t="inlineStr">
        <is>
          <t>In Progress</t>
        </is>
      </c>
      <c r="D787" s="4" t="inlineStr">
        <is>
          <t>Fixed fee</t>
        </is>
      </c>
      <c r="E787" s="4" t="inlineStr">
        <is>
          <t>Built Environment</t>
        </is>
      </c>
      <c r="F787" s="4" t="inlineStr">
        <is>
          <t>Melody Holloway</t>
        </is>
      </c>
      <c r="G787" s="5" t="n">
        <v>240100</v>
      </c>
      <c r="H787" s="5" t="n">
        <v>27731.55</v>
      </c>
      <c r="I787" s="5" t="n">
        <v>23121.15</v>
      </c>
      <c r="J787" s="5" t="n">
        <v>163268</v>
      </c>
      <c r="K787" s="5" t="n">
        <v>163268</v>
      </c>
      <c r="L787" s="5" t="n">
        <v>0</v>
      </c>
      <c r="M787" s="5" t="n">
        <v>18858.88</v>
      </c>
      <c r="N787" s="5" t="n">
        <v>144409.12</v>
      </c>
      <c r="O787" s="5" t="n">
        <v>144409.12</v>
      </c>
      <c r="P787" s="4" t="n"/>
      <c r="Q787" s="6" t="n">
        <v>0.116</v>
      </c>
      <c r="R787" s="6" t="n">
        <v>0.1155</v>
      </c>
    </row>
    <row r="788">
      <c r="A788" s="4" t="inlineStr">
        <is>
          <t>26-PC-41776</t>
        </is>
      </c>
      <c r="B788" s="4" t="inlineStr">
        <is>
          <t>Sandpiper Battery Storage GIS Mapping</t>
        </is>
      </c>
      <c r="C788" s="4" t="inlineStr">
        <is>
          <t>Lab/Curation</t>
        </is>
      </c>
      <c r="D788" s="4" t="inlineStr">
        <is>
          <t>Time and material</t>
        </is>
      </c>
      <c r="E788" s="4" t="inlineStr">
        <is>
          <t>Built Environment</t>
        </is>
      </c>
      <c r="F788" s="4" t="inlineStr">
        <is>
          <t>Jenny Wilkinson</t>
        </is>
      </c>
      <c r="G788" s="5" t="n">
        <v>457800</v>
      </c>
      <c r="H788" s="5" t="n">
        <v>40229.25</v>
      </c>
      <c r="I788" s="5" t="n">
        <v>36984.05</v>
      </c>
      <c r="J788" s="5" t="n">
        <v>310067.94</v>
      </c>
      <c r="K788" s="5" t="n">
        <v>310067.94</v>
      </c>
      <c r="L788" s="5" t="n">
        <v>0</v>
      </c>
      <c r="M788" s="5" t="n">
        <v>25479.07</v>
      </c>
      <c r="N788" s="5" t="n">
        <v>284588.87</v>
      </c>
      <c r="O788" s="5" t="n">
        <v>284588.87</v>
      </c>
      <c r="P788" s="4" t="n"/>
      <c r="Q788" s="6" t="n">
        <v>0.08799999999999999</v>
      </c>
      <c r="R788" s="6" t="n">
        <v>0.0822</v>
      </c>
    </row>
    <row r="789">
      <c r="A789" s="4" t="inlineStr">
        <is>
          <t>26-PC-41803</t>
        </is>
      </c>
      <c r="B789" s="4" t="inlineStr">
        <is>
          <t>Copper Flats Section 106 Consultation</t>
        </is>
      </c>
      <c r="C789" s="4" t="inlineStr">
        <is>
          <t>Lab/Curation</t>
        </is>
      </c>
      <c r="D789" s="4" t="inlineStr">
        <is>
          <t>Fixed fee</t>
        </is>
      </c>
      <c r="E789" s="4" t="inlineStr">
        <is>
          <t>Built Environment</t>
        </is>
      </c>
      <c r="F789" s="4" t="inlineStr">
        <is>
          <t>Jenny Wilkinson</t>
        </is>
      </c>
      <c r="G789" s="5" t="n">
        <v>554800</v>
      </c>
      <c r="H789" s="5" t="n">
        <v>67130.8</v>
      </c>
      <c r="I789" s="5" t="n">
        <v>55086.8</v>
      </c>
      <c r="J789" s="5" t="n">
        <v>392021.68</v>
      </c>
      <c r="K789" s="5" t="n">
        <v>392021.68</v>
      </c>
      <c r="L789" s="5" t="n">
        <v>0</v>
      </c>
      <c r="M789" s="5" t="n">
        <v>47452.96</v>
      </c>
      <c r="N789" s="5" t="n">
        <v>344568.72</v>
      </c>
      <c r="O789" s="5" t="n">
        <v>344568.72</v>
      </c>
      <c r="P789" s="4" t="n"/>
      <c r="Q789" s="6" t="n">
        <v>0.121</v>
      </c>
      <c r="R789" s="6" t="n">
        <v>0.121</v>
      </c>
    </row>
    <row r="790">
      <c r="A790" s="4" t="inlineStr">
        <is>
          <t>26-PC-41821</t>
        </is>
      </c>
      <c r="B790" s="4" t="inlineStr">
        <is>
          <t>Blue Heron School Campus Curation</t>
        </is>
      </c>
      <c r="C790" s="4" t="inlineStr">
        <is>
          <t>In Progress</t>
        </is>
      </c>
      <c r="D790" s="4" t="inlineStr">
        <is>
          <t>Time and material</t>
        </is>
      </c>
      <c r="E790" s="4" t="inlineStr">
        <is>
          <t>Built Environment</t>
        </is>
      </c>
      <c r="F790" s="4" t="inlineStr">
        <is>
          <t>Jenny Wilkinson</t>
        </is>
      </c>
      <c r="G790" s="5" t="n">
        <v>152400</v>
      </c>
      <c r="H790" s="5" t="n">
        <v>38727</v>
      </c>
      <c r="I790" s="5" t="n">
        <v>35011.46</v>
      </c>
      <c r="J790" s="5" t="n">
        <v>98770.44</v>
      </c>
      <c r="K790" s="5" t="n">
        <v>98770.44</v>
      </c>
      <c r="L790" s="5" t="n">
        <v>0</v>
      </c>
      <c r="M790" s="5" t="n">
        <v>25864.78</v>
      </c>
      <c r="N790" s="5" t="n">
        <v>72905.66</v>
      </c>
      <c r="O790" s="5" t="n">
        <v>72905.66</v>
      </c>
      <c r="P790" s="4" t="n"/>
      <c r="Q790" s="6" t="n">
        <v>0.254</v>
      </c>
      <c r="R790" s="6" t="n">
        <v>0.2619</v>
      </c>
    </row>
    <row r="791">
      <c r="A791" s="4" t="inlineStr">
        <is>
          <t>26-PC-41863</t>
        </is>
      </c>
      <c r="B791" s="4" t="inlineStr">
        <is>
          <t>Silver Lake Canal Lining Cultural Resources Assessment</t>
        </is>
      </c>
      <c r="C791" s="4" t="inlineStr">
        <is>
          <t>In Progress</t>
        </is>
      </c>
      <c r="D791" s="4" t="inlineStr">
        <is>
          <t>Fixed fee</t>
        </is>
      </c>
      <c r="E791" s="4" t="inlineStr">
        <is>
          <t>Built Environment</t>
        </is>
      </c>
      <c r="F791" s="4" t="inlineStr">
        <is>
          <t>Jenny Wilkinson</t>
        </is>
      </c>
      <c r="G791" s="5" t="n">
        <v>322500</v>
      </c>
      <c r="H791" s="5" t="n">
        <v>9255.75</v>
      </c>
      <c r="I791" s="5" t="n">
        <v>8208.440000000001</v>
      </c>
      <c r="J791" s="5" t="n">
        <v>224460</v>
      </c>
      <c r="K791" s="5" t="n">
        <v>224460</v>
      </c>
      <c r="L791" s="5" t="n">
        <v>0</v>
      </c>
      <c r="M791" s="5" t="n">
        <v>6449.34</v>
      </c>
      <c r="N791" s="5" t="n">
        <v>218010.66</v>
      </c>
      <c r="O791" s="5" t="n">
        <v>218010.66</v>
      </c>
      <c r="P791" s="4" t="n"/>
      <c r="Q791" s="6" t="n">
        <v>0.029</v>
      </c>
      <c r="R791" s="6" t="n">
        <v>0.0287</v>
      </c>
    </row>
    <row r="792">
      <c r="A792" s="4" t="inlineStr">
        <is>
          <t>26-PC-41865</t>
        </is>
      </c>
      <c r="B792" s="4" t="inlineStr">
        <is>
          <t>Phase II: Copper Flats Reservoir Class III Survey</t>
        </is>
      </c>
      <c r="C792" s="4" t="inlineStr">
        <is>
          <t>In Progress</t>
        </is>
      </c>
      <c r="D792" s="4" t="inlineStr">
        <is>
          <t>Time and material</t>
        </is>
      </c>
      <c r="E792" s="4" t="inlineStr">
        <is>
          <t>Built Environment</t>
        </is>
      </c>
      <c r="F792" s="4" t="inlineStr">
        <is>
          <t>Jenny Wilkinson</t>
        </is>
      </c>
      <c r="G792" s="5" t="n">
        <v>67100</v>
      </c>
      <c r="H792" s="5" t="n">
        <v>0</v>
      </c>
      <c r="I792" s="5" t="n">
        <v>0</v>
      </c>
      <c r="J792" s="5" t="n">
        <v>48325.42</v>
      </c>
      <c r="K792" s="5" t="n">
        <v>48325.42</v>
      </c>
      <c r="L792" s="5" t="n">
        <v>0</v>
      </c>
      <c r="M792" s="5" t="n">
        <v>0</v>
      </c>
      <c r="N792" s="5" t="n">
        <v>48325.42</v>
      </c>
      <c r="O792" s="5" t="n">
        <v>48325.42</v>
      </c>
      <c r="P792" s="4" t="n"/>
      <c r="Q792" s="6" t="n">
        <v>0</v>
      </c>
      <c r="R792" s="6" t="n">
        <v>0</v>
      </c>
    </row>
    <row r="793">
      <c r="A793" s="4" t="inlineStr">
        <is>
          <t>26-PC-41884</t>
        </is>
      </c>
      <c r="B793" s="4" t="inlineStr">
        <is>
          <t>Foxglove Trail - Curation</t>
        </is>
      </c>
      <c r="C793" s="4" t="inlineStr">
        <is>
          <t>In Progress</t>
        </is>
      </c>
      <c r="D793" s="4" t="inlineStr">
        <is>
          <t>Time and material</t>
        </is>
      </c>
      <c r="E793" s="4" t="inlineStr">
        <is>
          <t>Built Environment</t>
        </is>
      </c>
      <c r="F793" s="4" t="inlineStr">
        <is>
          <t>Melody Holloway</t>
        </is>
      </c>
      <c r="G793" s="5" t="n">
        <v>1099300</v>
      </c>
      <c r="H793" s="5" t="n">
        <v>100170</v>
      </c>
      <c r="I793" s="5" t="n">
        <v>75305.17</v>
      </c>
      <c r="J793" s="5" t="n">
        <v>743556.08</v>
      </c>
      <c r="K793" s="5" t="n">
        <v>550430.95</v>
      </c>
      <c r="L793" s="5" t="n">
        <v>193125.13</v>
      </c>
      <c r="M793" s="5" t="n">
        <v>69536.27</v>
      </c>
      <c r="N793" s="5" t="n">
        <v>674019.8099999999</v>
      </c>
      <c r="O793" s="5" t="n">
        <v>480894.6799999999</v>
      </c>
      <c r="P793" s="4" t="n"/>
      <c r="Q793" s="6" t="n">
        <v>0.091</v>
      </c>
      <c r="R793" s="6" t="n">
        <v>0.0935</v>
      </c>
    </row>
    <row r="794">
      <c r="A794" s="4" t="inlineStr">
        <is>
          <t>26-PC-41918</t>
        </is>
      </c>
      <c r="B794" s="4" t="inlineStr">
        <is>
          <t>Plover Cove Data Recovery</t>
        </is>
      </c>
      <c r="C794" s="4" t="inlineStr">
        <is>
          <t>In Progress</t>
        </is>
      </c>
      <c r="D794" s="4" t="inlineStr">
        <is>
          <t>Fixed fee</t>
        </is>
      </c>
      <c r="E794" s="4" t="inlineStr">
        <is>
          <t>Built Environment</t>
        </is>
      </c>
      <c r="F794" s="4" t="inlineStr">
        <is>
          <t>Melody Holloway</t>
        </is>
      </c>
      <c r="G794" s="5" t="n">
        <v>121100</v>
      </c>
      <c r="H794" s="5" t="n">
        <v>9058.280000000001</v>
      </c>
      <c r="I794" s="5" t="n">
        <v>7963.02</v>
      </c>
      <c r="J794" s="5" t="n">
        <v>81064.34</v>
      </c>
      <c r="K794" s="5" t="n">
        <v>81064.34</v>
      </c>
      <c r="L794" s="5" t="n">
        <v>0</v>
      </c>
      <c r="M794" s="5" t="n">
        <v>6059.97</v>
      </c>
      <c r="N794" s="5" t="n">
        <v>75004.37</v>
      </c>
      <c r="O794" s="5" t="n">
        <v>75004.37</v>
      </c>
      <c r="P794" s="4" t="n"/>
      <c r="Q794" s="6" t="n">
        <v>0.075</v>
      </c>
      <c r="R794" s="6" t="n">
        <v>0.07480000000000001</v>
      </c>
    </row>
    <row r="795">
      <c r="A795" s="4" t="inlineStr">
        <is>
          <t>26-PC-41947</t>
        </is>
      </c>
      <c r="B795" s="4" t="inlineStr">
        <is>
          <t>Juniper Wash Trail - Cultural Resources Monitoring</t>
        </is>
      </c>
      <c r="C795" s="4" t="inlineStr">
        <is>
          <t>Lab/Curation</t>
        </is>
      </c>
      <c r="D795" s="4" t="inlineStr">
        <is>
          <t>Fixed fee</t>
        </is>
      </c>
      <c r="E795" s="4" t="inlineStr">
        <is>
          <t>Built Environment</t>
        </is>
      </c>
      <c r="F795" s="4" t="inlineStr">
        <is>
          <t>Rickey Salas</t>
        </is>
      </c>
      <c r="G795" s="5" t="n">
        <v>64400</v>
      </c>
      <c r="H795" s="5" t="n">
        <v>37178.12</v>
      </c>
      <c r="I795" s="5" t="n">
        <v>30400.25</v>
      </c>
      <c r="J795" s="5" t="n">
        <v>52073.84</v>
      </c>
      <c r="K795" s="5" t="n">
        <v>52073.84</v>
      </c>
      <c r="L795" s="5" t="n">
        <v>0</v>
      </c>
      <c r="M795" s="5" t="n">
        <v>30061.9</v>
      </c>
      <c r="N795" s="5" t="n">
        <v>22011.94</v>
      </c>
      <c r="O795" s="5" t="n">
        <v>22011.94</v>
      </c>
      <c r="P795" s="4" t="n"/>
      <c r="Q795" s="6" t="n">
        <v>0.577</v>
      </c>
      <c r="R795" s="6" t="n">
        <v>0.5773</v>
      </c>
    </row>
    <row r="796">
      <c r="A796" s="4" t="inlineStr">
        <is>
          <t>26-PC-41961</t>
        </is>
      </c>
      <c r="B796" s="4" t="inlineStr">
        <is>
          <t>Eagle Bend Data Recovery</t>
        </is>
      </c>
      <c r="C796" s="4" t="inlineStr">
        <is>
          <t>In Progress</t>
        </is>
      </c>
      <c r="D796" s="4" t="inlineStr">
        <is>
          <t>Fixed fee</t>
        </is>
      </c>
      <c r="E796" s="4" t="inlineStr">
        <is>
          <t>Built Environment</t>
        </is>
      </c>
      <c r="F796" s="4" t="inlineStr">
        <is>
          <t>Melody Holloway</t>
        </is>
      </c>
      <c r="G796" s="5" t="n">
        <v>463200</v>
      </c>
      <c r="H796" s="5" t="n">
        <v>104822.16</v>
      </c>
      <c r="I796" s="5" t="n">
        <v>104822.16</v>
      </c>
      <c r="J796" s="5" t="n">
        <v>369077.76</v>
      </c>
      <c r="K796" s="5" t="n">
        <v>369077.76</v>
      </c>
      <c r="L796" s="5" t="n">
        <v>0</v>
      </c>
      <c r="M796" s="5" t="n">
        <v>83505.48</v>
      </c>
      <c r="N796" s="5" t="n">
        <v>285572.28</v>
      </c>
      <c r="O796" s="5" t="n">
        <v>285572.28</v>
      </c>
      <c r="P796" s="4" t="n"/>
      <c r="Q796" s="6" t="n">
        <v>0.226</v>
      </c>
      <c r="R796" s="6" t="n">
        <v>0.2263</v>
      </c>
    </row>
    <row r="797">
      <c r="A797" s="4" t="inlineStr">
        <is>
          <t>26-PC-41970</t>
        </is>
      </c>
      <c r="B797" s="4" t="inlineStr">
        <is>
          <t>North Fork School Campus - Cultural Resources Monitoring</t>
        </is>
      </c>
      <c r="C797" s="4" t="inlineStr">
        <is>
          <t>Final Reporting/Review</t>
        </is>
      </c>
      <c r="D797" s="4" t="inlineStr">
        <is>
          <t>Time and material</t>
        </is>
      </c>
      <c r="E797" s="4" t="inlineStr">
        <is>
          <t>Built Environment</t>
        </is>
      </c>
      <c r="F797" s="4" t="inlineStr">
        <is>
          <t>Melody Holloway</t>
        </is>
      </c>
      <c r="G797" s="5" t="n">
        <v>292200</v>
      </c>
      <c r="H797" s="5" t="n">
        <v>93249.75</v>
      </c>
      <c r="I797" s="5" t="n">
        <v>93249.75</v>
      </c>
      <c r="J797" s="5" t="n">
        <v>212405.41</v>
      </c>
      <c r="K797" s="5" t="n">
        <v>172247.04</v>
      </c>
      <c r="L797" s="5" t="n">
        <v>40158.37</v>
      </c>
      <c r="M797" s="5" t="n">
        <v>60262.35</v>
      </c>
      <c r="N797" s="5" t="n">
        <v>152143.06</v>
      </c>
      <c r="O797" s="5" t="n">
        <v>111984.69</v>
      </c>
      <c r="P797" s="4" t="n"/>
      <c r="Q797" s="6" t="n">
        <v>0.319</v>
      </c>
      <c r="R797" s="6" t="n">
        <v>0.2837</v>
      </c>
    </row>
    <row r="798">
      <c r="A798" s="4" t="inlineStr">
        <is>
          <t>26-PC-42007</t>
        </is>
      </c>
      <c r="B798" s="4" t="inlineStr">
        <is>
          <t>On-Call: Wren Hollow Mixed-Use Development Architectural History Survey</t>
        </is>
      </c>
      <c r="C798" s="4" t="inlineStr">
        <is>
          <t>In Progress</t>
        </is>
      </c>
      <c r="D798" s="4" t="inlineStr">
        <is>
          <t>Fixed fee</t>
        </is>
      </c>
      <c r="E798" s="4" t="inlineStr">
        <is>
          <t>Built Environment</t>
        </is>
      </c>
      <c r="F798" s="4" t="inlineStr">
        <is>
          <t>Jesse Maynard</t>
        </is>
      </c>
      <c r="G798" s="5" t="n">
        <v>341700</v>
      </c>
      <c r="H798" s="5" t="n">
        <v>37587</v>
      </c>
      <c r="I798" s="5" t="n">
        <v>31519.6</v>
      </c>
      <c r="J798" s="5" t="n">
        <v>215752.53</v>
      </c>
      <c r="K798" s="5" t="n">
        <v>179922</v>
      </c>
      <c r="L798" s="5" t="n">
        <v>35830.53</v>
      </c>
      <c r="M798" s="5" t="n">
        <v>23729.27</v>
      </c>
      <c r="N798" s="5" t="n">
        <v>192023.26</v>
      </c>
      <c r="O798" s="5" t="n">
        <v>156192.73</v>
      </c>
      <c r="P798" s="4" t="n"/>
      <c r="Q798" s="6" t="n">
        <v>0.11</v>
      </c>
      <c r="R798" s="6" t="n">
        <v>0.11</v>
      </c>
    </row>
    <row r="799">
      <c r="A799" s="4" t="inlineStr">
        <is>
          <t>26-PC-42008</t>
        </is>
      </c>
      <c r="B799" s="4" t="inlineStr">
        <is>
          <t>Millbrook GIS Mapping</t>
        </is>
      </c>
      <c r="C799" s="4" t="inlineStr">
        <is>
          <t>In Progress</t>
        </is>
      </c>
      <c r="D799" s="4" t="inlineStr">
        <is>
          <t>Time and material</t>
        </is>
      </c>
      <c r="E799" s="4" t="inlineStr">
        <is>
          <t>Built Environment</t>
        </is>
      </c>
      <c r="F799" s="4" t="inlineStr">
        <is>
          <t>Kathleen Cabrera</t>
        </is>
      </c>
      <c r="G799" s="5" t="n">
        <v>79400</v>
      </c>
      <c r="H799" s="5" t="n">
        <v>0</v>
      </c>
      <c r="I799" s="5" t="n">
        <v>0</v>
      </c>
      <c r="J799" s="5" t="n">
        <v>54793.94</v>
      </c>
      <c r="K799" s="5" t="n">
        <v>54793.94</v>
      </c>
      <c r="L799" s="5" t="n">
        <v>0</v>
      </c>
      <c r="M799" s="5" t="n">
        <v>0</v>
      </c>
      <c r="N799" s="5" t="n">
        <v>54793.94</v>
      </c>
      <c r="O799" s="5" t="n">
        <v>54793.94</v>
      </c>
      <c r="P799" s="4" t="n"/>
      <c r="Q799" s="6" t="n">
        <v>0</v>
      </c>
      <c r="R799" s="6" t="n">
        <v>0</v>
      </c>
    </row>
    <row r="800">
      <c r="A800" s="4" t="inlineStr">
        <is>
          <t>26-PC-42023</t>
        </is>
      </c>
      <c r="B800" s="4" t="inlineStr">
        <is>
          <t>North Fork Historic Resources Evaluation</t>
        </is>
      </c>
      <c r="C800" s="4" t="inlineStr">
        <is>
          <t>Transferred Entity</t>
        </is>
      </c>
      <c r="D800" s="4" t="inlineStr">
        <is>
          <t>Fixed fee</t>
        </is>
      </c>
      <c r="E800" s="4" t="inlineStr">
        <is>
          <t>Built Environment</t>
        </is>
      </c>
      <c r="F800" s="4" t="inlineStr">
        <is>
          <t>Jenny Wilkinson</t>
        </is>
      </c>
      <c r="G800" s="5" t="n">
        <v>157000</v>
      </c>
      <c r="H800" s="5" t="n">
        <v>16673.4</v>
      </c>
      <c r="I800" s="5" t="n">
        <v>14885.86</v>
      </c>
      <c r="J800" s="5" t="n">
        <v>111815.4</v>
      </c>
      <c r="K800" s="5" t="n">
        <v>111815.4</v>
      </c>
      <c r="L800" s="5" t="n">
        <v>0</v>
      </c>
      <c r="M800" s="5" t="n">
        <v>11876.63</v>
      </c>
      <c r="N800" s="5" t="n">
        <v>99938.76999999999</v>
      </c>
      <c r="O800" s="5" t="n">
        <v>99938.76999999999</v>
      </c>
      <c r="P800" s="4" t="n"/>
      <c r="Q800" s="6" t="n">
        <v>0.106</v>
      </c>
      <c r="R800" s="6" t="n">
        <v>0.1062</v>
      </c>
    </row>
    <row r="801">
      <c r="A801" s="4" t="inlineStr">
        <is>
          <t>26-PC-42040</t>
        </is>
      </c>
      <c r="B801" s="4" t="inlineStr">
        <is>
          <t>Millbrook Phase II Testing</t>
        </is>
      </c>
      <c r="C801" s="4" t="inlineStr">
        <is>
          <t>In Progress</t>
        </is>
      </c>
      <c r="D801" s="4" t="inlineStr">
        <is>
          <t>Time and material</t>
        </is>
      </c>
      <c r="E801" s="4" t="inlineStr">
        <is>
          <t>Built Environment</t>
        </is>
      </c>
      <c r="F801" s="4" t="inlineStr">
        <is>
          <t>Jenny Wilkinson</t>
        </is>
      </c>
      <c r="G801" s="5" t="n">
        <v>129700</v>
      </c>
      <c r="H801" s="5" t="n">
        <v>14359.5</v>
      </c>
      <c r="I801" s="5" t="n">
        <v>9132.09</v>
      </c>
      <c r="J801" s="5" t="n">
        <v>89350.33</v>
      </c>
      <c r="K801" s="5" t="n">
        <v>89350.33</v>
      </c>
      <c r="L801" s="5" t="n">
        <v>0</v>
      </c>
      <c r="M801" s="5" t="n">
        <v>9591.799999999999</v>
      </c>
      <c r="N801" s="5" t="n">
        <v>79758.53</v>
      </c>
      <c r="O801" s="5" t="n">
        <v>79758.53</v>
      </c>
      <c r="P801" s="4" t="n"/>
      <c r="Q801" s="6" t="n">
        <v>0.111</v>
      </c>
      <c r="R801" s="6" t="n">
        <v>0.1074</v>
      </c>
    </row>
    <row r="802">
      <c r="A802" s="4" t="inlineStr">
        <is>
          <t>26-PC-42099</t>
        </is>
      </c>
      <c r="B802" s="4" t="inlineStr">
        <is>
          <t>Fern Valley Substation Cultural Resources Monitoring</t>
        </is>
      </c>
      <c r="C802" s="4" t="inlineStr">
        <is>
          <t>In Progress</t>
        </is>
      </c>
      <c r="D802" s="4" t="inlineStr">
        <is>
          <t>Time and material</t>
        </is>
      </c>
      <c r="E802" s="4" t="inlineStr">
        <is>
          <t>Built Environment</t>
        </is>
      </c>
      <c r="F802" s="4" t="inlineStr">
        <is>
          <t>Jesse Maynard</t>
        </is>
      </c>
      <c r="G802" s="5" t="n">
        <v>661800</v>
      </c>
      <c r="H802" s="5" t="n">
        <v>124275.5</v>
      </c>
      <c r="I802" s="5" t="n">
        <v>110235.78</v>
      </c>
      <c r="J802" s="5" t="n">
        <v>445656.12</v>
      </c>
      <c r="K802" s="5" t="n">
        <v>445656.12</v>
      </c>
      <c r="L802" s="5" t="n">
        <v>0</v>
      </c>
      <c r="M802" s="5" t="n">
        <v>74965.47</v>
      </c>
      <c r="N802" s="5" t="n">
        <v>370690.65</v>
      </c>
      <c r="O802" s="5" t="n">
        <v>370690.65</v>
      </c>
      <c r="P802" s="4" t="n"/>
      <c r="Q802" s="6" t="n">
        <v>0.188</v>
      </c>
      <c r="R802" s="6" t="n">
        <v>0.1682</v>
      </c>
    </row>
    <row r="803">
      <c r="A803" s="4" t="inlineStr">
        <is>
          <t>26-PC-42108</t>
        </is>
      </c>
      <c r="B803" s="4" t="inlineStr">
        <is>
          <t>Sumac Ridge Mixed-Use Development Curation</t>
        </is>
      </c>
      <c r="C803" s="4" t="inlineStr">
        <is>
          <t>In Progress</t>
        </is>
      </c>
      <c r="D803" s="4" t="inlineStr">
        <is>
          <t>Fixed fee</t>
        </is>
      </c>
      <c r="E803" s="4" t="inlineStr">
        <is>
          <t>Built Environment</t>
        </is>
      </c>
      <c r="F803" s="4" t="inlineStr">
        <is>
          <t>Kathleen Cabrera</t>
        </is>
      </c>
      <c r="G803" s="5" t="n">
        <v>1000600</v>
      </c>
      <c r="H803" s="5" t="n">
        <v>57834.68</v>
      </c>
      <c r="I803" s="5" t="n">
        <v>51120.33</v>
      </c>
      <c r="J803" s="5" t="n">
        <v>761256.48</v>
      </c>
      <c r="K803" s="5" t="n">
        <v>761256.48</v>
      </c>
      <c r="L803" s="5" t="n">
        <v>0</v>
      </c>
      <c r="M803" s="5" t="n">
        <v>43963.83</v>
      </c>
      <c r="N803" s="5" t="n">
        <v>717292.65</v>
      </c>
      <c r="O803" s="5" t="n">
        <v>717292.65</v>
      </c>
      <c r="P803" s="4" t="n"/>
      <c r="Q803" s="6" t="n">
        <v>0.058</v>
      </c>
      <c r="R803" s="6" t="n">
        <v>0.0578</v>
      </c>
    </row>
    <row r="804">
      <c r="A804" s="4" t="inlineStr">
        <is>
          <t>26-PC-42293</t>
        </is>
      </c>
      <c r="B804" s="4" t="inlineStr">
        <is>
          <t>Eagle Bend Water Main Phase II Testing</t>
        </is>
      </c>
      <c r="C804" s="4" t="inlineStr">
        <is>
          <t>In Progress</t>
        </is>
      </c>
      <c r="D804" s="4" t="inlineStr">
        <is>
          <t>Fixed fee</t>
        </is>
      </c>
      <c r="E804" s="4" t="inlineStr">
        <is>
          <t>Paleontology</t>
        </is>
      </c>
      <c r="F804" s="4" t="inlineStr">
        <is>
          <t>Charlene Sparks</t>
        </is>
      </c>
      <c r="G804" s="5" t="n">
        <v>100800</v>
      </c>
      <c r="H804" s="5" t="n">
        <v>24685.92</v>
      </c>
      <c r="I804" s="5" t="n">
        <v>22746.35</v>
      </c>
      <c r="J804" s="5" t="n">
        <v>88704</v>
      </c>
      <c r="K804" s="5" t="n">
        <v>88704</v>
      </c>
      <c r="L804" s="5" t="n">
        <v>0</v>
      </c>
      <c r="M804" s="5" t="n">
        <v>21724.75</v>
      </c>
      <c r="N804" s="5" t="n">
        <v>66979.25</v>
      </c>
      <c r="O804" s="5" t="n">
        <v>66979.25</v>
      </c>
      <c r="P804" s="4" t="n"/>
      <c r="Q804" s="6" t="n">
        <v>0.245</v>
      </c>
      <c r="R804" s="6" t="n">
        <v>0.2449</v>
      </c>
    </row>
    <row r="805">
      <c r="A805" s="4" t="inlineStr">
        <is>
          <t>26-PC-42427</t>
        </is>
      </c>
      <c r="B805" s="4" t="inlineStr">
        <is>
          <t>Phase II: Stone Mill Mine Expansion Section 106 Consultation</t>
        </is>
      </c>
      <c r="C805" s="4" t="inlineStr">
        <is>
          <t>In Progress</t>
        </is>
      </c>
      <c r="D805" s="4" t="inlineStr">
        <is>
          <t>Time and material</t>
        </is>
      </c>
      <c r="E805" s="4" t="inlineStr">
        <is>
          <t>Paleontology</t>
        </is>
      </c>
      <c r="F805" s="4" t="inlineStr">
        <is>
          <t>Travis Delgado</t>
        </is>
      </c>
      <c r="G805" s="5" t="n">
        <v>926100</v>
      </c>
      <c r="H805" s="5" t="n">
        <v>199575</v>
      </c>
      <c r="I805" s="5" t="n">
        <v>182757.68</v>
      </c>
      <c r="J805" s="5" t="n">
        <v>644195.16</v>
      </c>
      <c r="K805" s="5" t="n">
        <v>644195.16</v>
      </c>
      <c r="L805" s="5" t="n">
        <v>0</v>
      </c>
      <c r="M805" s="5" t="n">
        <v>140019.29</v>
      </c>
      <c r="N805" s="5" t="n">
        <v>504175.87</v>
      </c>
      <c r="O805" s="5" t="n">
        <v>504175.87</v>
      </c>
      <c r="P805" s="4" t="n"/>
      <c r="Q805" s="6" t="n">
        <v>0.216</v>
      </c>
      <c r="R805" s="6" t="n">
        <v>0.2174</v>
      </c>
    </row>
    <row r="806">
      <c r="A806" s="4" t="inlineStr">
        <is>
          <t>26-PC-42428</t>
        </is>
      </c>
      <c r="B806" s="4" t="inlineStr">
        <is>
          <t>Phase II: Yarrow Point Levee Repair Architectural History Survey</t>
        </is>
      </c>
      <c r="C806" s="4" t="inlineStr">
        <is>
          <t>Final Reporting/Review</t>
        </is>
      </c>
      <c r="D806" s="4" t="inlineStr">
        <is>
          <t>Fixed fee</t>
        </is>
      </c>
      <c r="E806" s="4" t="inlineStr">
        <is>
          <t>Paleontology</t>
        </is>
      </c>
      <c r="F806" s="4" t="inlineStr">
        <is>
          <t>Charlene Sparks</t>
        </is>
      </c>
      <c r="G806" s="5" t="n">
        <v>921200</v>
      </c>
      <c r="H806" s="5" t="n">
        <v>23214.24</v>
      </c>
      <c r="I806" s="5" t="n">
        <v>7402.27</v>
      </c>
      <c r="J806" s="5" t="n">
        <v>680214.08</v>
      </c>
      <c r="K806" s="5" t="n">
        <v>680214.08</v>
      </c>
      <c r="L806" s="5" t="n">
        <v>0</v>
      </c>
      <c r="M806" s="5" t="n">
        <v>17174.43</v>
      </c>
      <c r="N806" s="5" t="n">
        <v>663039.6499999999</v>
      </c>
      <c r="O806" s="5" t="n">
        <v>663039.6499999999</v>
      </c>
      <c r="P806" s="4" t="n"/>
      <c r="Q806" s="6" t="n">
        <v>0.025</v>
      </c>
      <c r="R806" s="6" t="n">
        <v>0.0252</v>
      </c>
    </row>
    <row r="807">
      <c r="A807" s="4" t="inlineStr">
        <is>
          <t>26-PC-42472</t>
        </is>
      </c>
      <c r="B807" s="4" t="inlineStr">
        <is>
          <t>Kestrel Butte Cultural Resources Monitoring</t>
        </is>
      </c>
      <c r="C807" s="4" t="inlineStr">
        <is>
          <t>In Progress</t>
        </is>
      </c>
      <c r="D807" s="4" t="inlineStr">
        <is>
          <t>Fixed fee</t>
        </is>
      </c>
      <c r="E807" s="4" t="inlineStr">
        <is>
          <t>Paleontology</t>
        </is>
      </c>
      <c r="F807" s="4" t="inlineStr">
        <is>
          <t>Travis Delgado</t>
        </is>
      </c>
      <c r="G807" s="5" t="n">
        <v>129200</v>
      </c>
      <c r="H807" s="5" t="n">
        <v>4405.72</v>
      </c>
      <c r="I807" s="5" t="n">
        <v>1825.8</v>
      </c>
      <c r="J807" s="5" t="n">
        <v>94328.92</v>
      </c>
      <c r="K807" s="5" t="n">
        <v>94328.92</v>
      </c>
      <c r="L807" s="5" t="n">
        <v>0</v>
      </c>
      <c r="M807" s="5" t="n">
        <v>3220.98</v>
      </c>
      <c r="N807" s="5" t="n">
        <v>91107.94</v>
      </c>
      <c r="O807" s="5" t="n">
        <v>91107.94</v>
      </c>
      <c r="P807" s="4" t="n"/>
      <c r="Q807" s="6" t="n">
        <v>0.034</v>
      </c>
      <c r="R807" s="6" t="n">
        <v>0.0341</v>
      </c>
    </row>
    <row r="808">
      <c r="A808" s="4" t="inlineStr">
        <is>
          <t>26-PC-42492</t>
        </is>
      </c>
      <c r="B808" s="4" t="inlineStr">
        <is>
          <t>Tamarack Class III Survey</t>
        </is>
      </c>
      <c r="C808" s="4" t="inlineStr">
        <is>
          <t>In Progress</t>
        </is>
      </c>
      <c r="D808" s="4" t="inlineStr">
        <is>
          <t>Time and material</t>
        </is>
      </c>
      <c r="E808" s="4" t="inlineStr">
        <is>
          <t>Paleontology</t>
        </is>
      </c>
      <c r="F808" s="4" t="inlineStr">
        <is>
          <t>Charlene Sparks</t>
        </is>
      </c>
      <c r="G808" s="5" t="n">
        <v>60100</v>
      </c>
      <c r="H808" s="5" t="n">
        <v>15520.75</v>
      </c>
      <c r="I808" s="5" t="n">
        <v>14528.76</v>
      </c>
      <c r="J808" s="5" t="n">
        <v>39629.94</v>
      </c>
      <c r="K808" s="5" t="n">
        <v>39629.94</v>
      </c>
      <c r="L808" s="5" t="n">
        <v>0</v>
      </c>
      <c r="M808" s="5" t="n">
        <v>9610.68</v>
      </c>
      <c r="N808" s="5" t="n">
        <v>30019.26</v>
      </c>
      <c r="O808" s="5" t="n">
        <v>30019.26</v>
      </c>
      <c r="P808" s="4" t="n"/>
      <c r="Q808" s="6" t="n">
        <v>0.258</v>
      </c>
      <c r="R808" s="6" t="n">
        <v>0.2425</v>
      </c>
    </row>
    <row r="809">
      <c r="A809" s="4" t="inlineStr">
        <is>
          <t>26-PC-42510</t>
        </is>
      </c>
      <c r="B809" s="4" t="inlineStr">
        <is>
          <t>Lantern Bay Data Recovery</t>
        </is>
      </c>
      <c r="C809" s="4" t="inlineStr">
        <is>
          <t>In Progress</t>
        </is>
      </c>
      <c r="D809" s="4" t="inlineStr">
        <is>
          <t>Time and material</t>
        </is>
      </c>
      <c r="E809" s="4" t="inlineStr">
        <is>
          <t>Paleontology</t>
        </is>
      </c>
      <c r="F809" s="4" t="inlineStr">
        <is>
          <t>Charlene Sparks</t>
        </is>
      </c>
      <c r="G809" s="5" t="n">
        <v>1304200</v>
      </c>
      <c r="H809" s="5" t="n">
        <v>147490.25</v>
      </c>
      <c r="I809" s="5" t="n">
        <v>138984.13</v>
      </c>
      <c r="J809" s="5" t="n">
        <v>949196.76</v>
      </c>
      <c r="K809" s="5" t="n">
        <v>949196.76</v>
      </c>
      <c r="L809" s="5" t="n">
        <v>0</v>
      </c>
      <c r="M809" s="5" t="n">
        <v>96292.2</v>
      </c>
      <c r="N809" s="5" t="n">
        <v>852904.5600000001</v>
      </c>
      <c r="O809" s="5" t="n">
        <v>852904.5600000001</v>
      </c>
      <c r="P809" s="4" t="n"/>
      <c r="Q809" s="6" t="n">
        <v>0.113</v>
      </c>
      <c r="R809" s="6" t="n">
        <v>0.1014</v>
      </c>
    </row>
    <row r="810">
      <c r="A810" s="4" t="inlineStr">
        <is>
          <t>26-PC-42554</t>
        </is>
      </c>
      <c r="B810" s="4" t="inlineStr">
        <is>
          <t>Task Order 36: Larkspur Pipeline Class III Survey</t>
        </is>
      </c>
      <c r="C810" s="4" t="inlineStr">
        <is>
          <t>In Progress</t>
        </is>
      </c>
      <c r="D810" s="4" t="inlineStr">
        <is>
          <t>Fixed fee</t>
        </is>
      </c>
      <c r="E810" s="4" t="inlineStr">
        <is>
          <t>Paleontology</t>
        </is>
      </c>
      <c r="F810" s="4" t="inlineStr">
        <is>
          <t>Charlene Sparks</t>
        </is>
      </c>
      <c r="G810" s="5" t="n">
        <v>138900</v>
      </c>
      <c r="H810" s="5" t="n">
        <v>9750.780000000001</v>
      </c>
      <c r="I810" s="5" t="n">
        <v>3241.35</v>
      </c>
      <c r="J810" s="5" t="n">
        <v>102674.88</v>
      </c>
      <c r="K810" s="5" t="n">
        <v>102674.88</v>
      </c>
      <c r="L810" s="5" t="n">
        <v>0</v>
      </c>
      <c r="M810" s="5" t="n">
        <v>7211.42</v>
      </c>
      <c r="N810" s="5" t="n">
        <v>95463.46000000001</v>
      </c>
      <c r="O810" s="5" t="n">
        <v>95463.46000000001</v>
      </c>
      <c r="P810" s="4" t="n"/>
      <c r="Q810" s="6" t="n">
        <v>0.07000000000000001</v>
      </c>
      <c r="R810" s="6" t="n">
        <v>0.0702</v>
      </c>
    </row>
    <row r="811">
      <c r="A811" s="4" t="inlineStr">
        <is>
          <t>26-PC-42598</t>
        </is>
      </c>
      <c r="B811" s="4" t="inlineStr">
        <is>
          <t>Badger Hollow Phase II Testing</t>
        </is>
      </c>
      <c r="C811" s="4" t="inlineStr">
        <is>
          <t>In Progress</t>
        </is>
      </c>
      <c r="D811" s="4" t="inlineStr">
        <is>
          <t>Time and material</t>
        </is>
      </c>
      <c r="E811" s="4" t="inlineStr">
        <is>
          <t>Paleontology</t>
        </is>
      </c>
      <c r="F811" s="4" t="inlineStr">
        <is>
          <t>Travis Delgado</t>
        </is>
      </c>
      <c r="G811" s="5" t="n">
        <v>99400</v>
      </c>
      <c r="H811" s="5" t="n">
        <v>52925.75</v>
      </c>
      <c r="I811" s="5" t="n">
        <v>46544.43</v>
      </c>
      <c r="J811" s="5" t="n">
        <v>74509.83</v>
      </c>
      <c r="K811" s="5" t="n">
        <v>55811.54</v>
      </c>
      <c r="L811" s="5" t="n">
        <v>18698.29</v>
      </c>
      <c r="M811" s="5" t="n">
        <v>31770.68</v>
      </c>
      <c r="N811" s="5" t="n">
        <v>42739.15</v>
      </c>
      <c r="O811" s="5" t="n">
        <v>24040.86</v>
      </c>
      <c r="P811" s="4" t="n"/>
      <c r="Q811" s="6" t="n">
        <v>0.532</v>
      </c>
      <c r="R811" s="6" t="n">
        <v>0.4264</v>
      </c>
    </row>
    <row r="812">
      <c r="A812" s="4" t="inlineStr">
        <is>
          <t>26-PC-42664</t>
        </is>
      </c>
      <c r="B812" s="4" t="inlineStr">
        <is>
          <t>Foxglove Cell Tower GIS Mapping</t>
        </is>
      </c>
      <c r="C812" s="4" t="inlineStr">
        <is>
          <t>In Progress</t>
        </is>
      </c>
      <c r="D812" s="4" t="inlineStr">
        <is>
          <t>Fixed fee</t>
        </is>
      </c>
      <c r="E812" s="4" t="inlineStr">
        <is>
          <t>Paleontology</t>
        </is>
      </c>
      <c r="F812" s="4" t="inlineStr">
        <is>
          <t>Travis Delgado</t>
        </is>
      </c>
      <c r="G812" s="5" t="n">
        <v>50700</v>
      </c>
      <c r="H812" s="5" t="n">
        <v>3199.17</v>
      </c>
      <c r="I812" s="5" t="n">
        <v>1164.27</v>
      </c>
      <c r="J812" s="5" t="n">
        <v>32903.41</v>
      </c>
      <c r="K812" s="5" t="n">
        <v>29535.99</v>
      </c>
      <c r="L812" s="5" t="n">
        <v>3367.42</v>
      </c>
      <c r="M812" s="5" t="n">
        <v>2075.33</v>
      </c>
      <c r="N812" s="5" t="n">
        <v>30828.08</v>
      </c>
      <c r="O812" s="5" t="n">
        <v>27460.66</v>
      </c>
      <c r="P812" s="4" t="n"/>
      <c r="Q812" s="6" t="n">
        <v>0.063</v>
      </c>
      <c r="R812" s="6" t="n">
        <v>0.0631</v>
      </c>
    </row>
    <row r="813">
      <c r="A813" s="4" t="inlineStr">
        <is>
          <t>26-PC-42679</t>
        </is>
      </c>
      <c r="B813" s="4" t="inlineStr">
        <is>
          <t>Aspen Ridge Phase I Survey</t>
        </is>
      </c>
      <c r="C813" s="4" t="inlineStr">
        <is>
          <t>Final Reporting/Review</t>
        </is>
      </c>
      <c r="D813" s="4" t="inlineStr">
        <is>
          <t>Fixed fee</t>
        </is>
      </c>
      <c r="E813" s="4" t="inlineStr">
        <is>
          <t>Maritime</t>
        </is>
      </c>
      <c r="F813" s="4" t="inlineStr">
        <is>
          <t>Kyle Maynard</t>
        </is>
      </c>
      <c r="G813" s="5" t="n">
        <v>214600</v>
      </c>
      <c r="H813" s="5" t="n">
        <v>103072.38</v>
      </c>
      <c r="I813" s="5" t="n">
        <v>88132.28</v>
      </c>
      <c r="J813" s="5" t="n">
        <v>144103.9</v>
      </c>
      <c r="K813" s="5" t="n">
        <v>144103.9</v>
      </c>
      <c r="L813" s="5" t="n">
        <v>0</v>
      </c>
      <c r="M813" s="5" t="n">
        <v>69217.42</v>
      </c>
      <c r="N813" s="5" t="n">
        <v>74886.48</v>
      </c>
      <c r="O813" s="5" t="n">
        <v>74886.48</v>
      </c>
      <c r="P813" s="4" t="n"/>
      <c r="Q813" s="6" t="n">
        <v>0.48</v>
      </c>
      <c r="R813" s="6" t="n">
        <v>0.4803</v>
      </c>
    </row>
    <row r="814">
      <c r="A814" s="4" t="inlineStr">
        <is>
          <t>26-PC-42692</t>
        </is>
      </c>
      <c r="B814" s="4" t="inlineStr">
        <is>
          <t>Quail Run Curation</t>
        </is>
      </c>
      <c r="C814" s="4" t="inlineStr">
        <is>
          <t>In Progress</t>
        </is>
      </c>
      <c r="D814" s="4" t="inlineStr">
        <is>
          <t>Fixed fee</t>
        </is>
      </c>
      <c r="E814" s="4" t="inlineStr">
        <is>
          <t>Maritime</t>
        </is>
      </c>
      <c r="F814" s="4" t="inlineStr">
        <is>
          <t>Rita Ayala</t>
        </is>
      </c>
      <c r="G814" s="5" t="n">
        <v>300500</v>
      </c>
      <c r="H814" s="5" t="n">
        <v>39666</v>
      </c>
      <c r="I814" s="5" t="n">
        <v>29809.72</v>
      </c>
      <c r="J814" s="5" t="n">
        <v>203889.25</v>
      </c>
      <c r="K814" s="5" t="n">
        <v>203889.25</v>
      </c>
      <c r="L814" s="5" t="n">
        <v>0</v>
      </c>
      <c r="M814" s="5" t="n">
        <v>26905.99</v>
      </c>
      <c r="N814" s="5" t="n">
        <v>176983.26</v>
      </c>
      <c r="O814" s="5" t="n">
        <v>176983.26</v>
      </c>
      <c r="P814" s="4" t="n"/>
      <c r="Q814" s="6" t="n">
        <v>0.132</v>
      </c>
      <c r="R814" s="6" t="n">
        <v>0.132</v>
      </c>
    </row>
    <row r="815">
      <c r="A815" s="4" t="inlineStr">
        <is>
          <t>26-PC-42734</t>
        </is>
      </c>
      <c r="B815" s="4" t="inlineStr">
        <is>
          <t>On-Call: Lantern Bay Reservoir Architectural History Survey</t>
        </is>
      </c>
      <c r="C815" s="4" t="inlineStr">
        <is>
          <t>In Progress</t>
        </is>
      </c>
      <c r="D815" s="4" t="inlineStr">
        <is>
          <t>Time and material</t>
        </is>
      </c>
      <c r="E815" s="4" t="inlineStr">
        <is>
          <t>Maritime</t>
        </is>
      </c>
      <c r="F815" s="4" t="inlineStr">
        <is>
          <t>Rita Ayala</t>
        </is>
      </c>
      <c r="G815" s="5" t="n">
        <v>77500</v>
      </c>
      <c r="H815" s="5" t="n">
        <v>41132.25</v>
      </c>
      <c r="I815" s="5" t="n">
        <v>38532.58</v>
      </c>
      <c r="J815" s="5" t="n">
        <v>51615</v>
      </c>
      <c r="K815" s="5" t="n">
        <v>51615</v>
      </c>
      <c r="L815" s="5" t="n">
        <v>0</v>
      </c>
      <c r="M815" s="5" t="n">
        <v>25950.9</v>
      </c>
      <c r="N815" s="5" t="n">
        <v>25664.1</v>
      </c>
      <c r="O815" s="5" t="n">
        <v>25664.1</v>
      </c>
      <c r="P815" s="4" t="n"/>
      <c r="Q815" s="6" t="n">
        <v>0.531</v>
      </c>
      <c r="R815" s="6" t="n">
        <v>0.5028</v>
      </c>
    </row>
    <row r="816">
      <c r="A816" s="4" t="inlineStr">
        <is>
          <t>26-PC-42757</t>
        </is>
      </c>
      <c r="B816" s="4" t="inlineStr">
        <is>
          <t>Task Order 4: Tansy Flat Wind Farm Archaeological Testing</t>
        </is>
      </c>
      <c r="C816" s="4" t="inlineStr">
        <is>
          <t>In Progress</t>
        </is>
      </c>
      <c r="D816" s="4" t="inlineStr">
        <is>
          <t>Fixed fee</t>
        </is>
      </c>
      <c r="E816" s="4" t="inlineStr">
        <is>
          <t>Maritime</t>
        </is>
      </c>
      <c r="F816" s="4" t="inlineStr">
        <is>
          <t>Kyle Maynard</t>
        </is>
      </c>
      <c r="G816" s="5" t="n">
        <v>347000</v>
      </c>
      <c r="H816" s="5" t="n">
        <v>252477.2</v>
      </c>
      <c r="I816" s="5" t="n">
        <v>226595.93</v>
      </c>
      <c r="J816" s="5" t="n">
        <v>256363.6</v>
      </c>
      <c r="K816" s="5" t="n">
        <v>256363.6</v>
      </c>
      <c r="L816" s="5" t="n">
        <v>0</v>
      </c>
      <c r="M816" s="5" t="n">
        <v>186528.08</v>
      </c>
      <c r="N816" s="5" t="n">
        <v>69835.52000000002</v>
      </c>
      <c r="O816" s="5" t="n">
        <v>69835.52000000002</v>
      </c>
      <c r="P816" s="4" t="n"/>
      <c r="Q816" s="6" t="n">
        <v>0.728</v>
      </c>
      <c r="R816" s="6" t="n">
        <v>0.7276</v>
      </c>
    </row>
    <row r="817">
      <c r="A817" s="4" t="inlineStr">
        <is>
          <t>26-PC-42832</t>
        </is>
      </c>
      <c r="B817" s="4" t="inlineStr">
        <is>
          <t>Task Order 39: Saltgrass Levee Repair Class III Survey</t>
        </is>
      </c>
      <c r="C817" s="4" t="inlineStr">
        <is>
          <t>Final Reporting/Review</t>
        </is>
      </c>
      <c r="D817" s="4" t="inlineStr">
        <is>
          <t>Time and material</t>
        </is>
      </c>
      <c r="E817" s="4" t="inlineStr">
        <is>
          <t>Maritime</t>
        </is>
      </c>
      <c r="F817" s="4" t="inlineStr">
        <is>
          <t>Rita Ayala</t>
        </is>
      </c>
      <c r="G817" s="5" t="n">
        <v>343600</v>
      </c>
      <c r="H817" s="5" t="n">
        <v>38736.25</v>
      </c>
      <c r="I817" s="5" t="n">
        <v>32806.18</v>
      </c>
      <c r="J817" s="5" t="n">
        <v>243097</v>
      </c>
      <c r="K817" s="5" t="n">
        <v>243097</v>
      </c>
      <c r="L817" s="5" t="n">
        <v>0</v>
      </c>
      <c r="M817" s="5" t="n">
        <v>23563.54</v>
      </c>
      <c r="N817" s="5" t="n">
        <v>219533.46</v>
      </c>
      <c r="O817" s="5" t="n">
        <v>219533.46</v>
      </c>
      <c r="P817" s="4" t="n"/>
      <c r="Q817" s="6" t="n">
        <v>0.113</v>
      </c>
      <c r="R817" s="6" t="n">
        <v>0.0969</v>
      </c>
    </row>
    <row r="818">
      <c r="A818" s="4" t="inlineStr">
        <is>
          <t>26-PC-42838</t>
        </is>
      </c>
      <c r="B818" s="4" t="inlineStr">
        <is>
          <t>Phase III: Oak Terrace Pipeline Phase II Testing</t>
        </is>
      </c>
      <c r="C818" s="4" t="inlineStr">
        <is>
          <t>In Progress</t>
        </is>
      </c>
      <c r="D818" s="4" t="inlineStr">
        <is>
          <t>Fixed fee</t>
        </is>
      </c>
      <c r="E818" s="4" t="inlineStr">
        <is>
          <t>Maritime</t>
        </is>
      </c>
      <c r="F818" s="4" t="inlineStr">
        <is>
          <t>Rita Ayala</t>
        </is>
      </c>
      <c r="G818" s="5" t="n">
        <v>47400</v>
      </c>
      <c r="H818" s="5" t="n">
        <v>19865.34</v>
      </c>
      <c r="I818" s="5" t="n">
        <v>19865.34</v>
      </c>
      <c r="J818" s="5" t="n">
        <v>31824.36</v>
      </c>
      <c r="K818" s="5" t="n">
        <v>31824.36</v>
      </c>
      <c r="L818" s="5" t="n">
        <v>0</v>
      </c>
      <c r="M818" s="5" t="n">
        <v>13337.82</v>
      </c>
      <c r="N818" s="5" t="n">
        <v>18486.54</v>
      </c>
      <c r="O818" s="5" t="n">
        <v>18486.54</v>
      </c>
      <c r="P818" s="4" t="n"/>
      <c r="Q818" s="6" t="n">
        <v>0.419</v>
      </c>
      <c r="R818" s="6" t="n">
        <v>0.4191</v>
      </c>
    </row>
    <row r="819">
      <c r="A819" s="4" t="inlineStr">
        <is>
          <t>26-PC-42880</t>
        </is>
      </c>
      <c r="B819" s="4" t="inlineStr">
        <is>
          <t>Phase I: Quail Run Harbor Dredging Curation</t>
        </is>
      </c>
      <c r="C819" s="4" t="inlineStr">
        <is>
          <t>In Progress</t>
        </is>
      </c>
      <c r="D819" s="4" t="inlineStr">
        <is>
          <t>Fixed fee</t>
        </is>
      </c>
      <c r="E819" s="4" t="inlineStr">
        <is>
          <t>Maritime</t>
        </is>
      </c>
      <c r="F819" s="4" t="inlineStr">
        <is>
          <t>Rita Ayala</t>
        </is>
      </c>
      <c r="G819" s="5" t="n">
        <v>107200</v>
      </c>
      <c r="H819" s="5" t="n">
        <v>12145.76</v>
      </c>
      <c r="I819" s="5" t="n">
        <v>7389.46</v>
      </c>
      <c r="J819" s="5" t="n">
        <v>87904</v>
      </c>
      <c r="K819" s="5" t="n">
        <v>87904</v>
      </c>
      <c r="L819" s="5" t="n">
        <v>0</v>
      </c>
      <c r="M819" s="5" t="n">
        <v>9955.870000000001</v>
      </c>
      <c r="N819" s="5" t="n">
        <v>77948.13</v>
      </c>
      <c r="O819" s="5" t="n">
        <v>77948.13</v>
      </c>
      <c r="P819" s="4" t="n"/>
      <c r="Q819" s="6" t="n">
        <v>0.113</v>
      </c>
      <c r="R819" s="6" t="n">
        <v>0.1133</v>
      </c>
    </row>
    <row r="820">
      <c r="A820" s="4" t="inlineStr">
        <is>
          <t>26-PC-42926</t>
        </is>
      </c>
      <c r="B820" s="4" t="inlineStr">
        <is>
          <t>Juniper Wash Transmission Line - Class III Survey</t>
        </is>
      </c>
      <c r="C820" s="4" t="inlineStr">
        <is>
          <t>In Progress</t>
        </is>
      </c>
      <c r="D820" s="4" t="inlineStr">
        <is>
          <t>Fixed fee</t>
        </is>
      </c>
      <c r="E820" s="4" t="inlineStr">
        <is>
          <t>Maritime</t>
        </is>
      </c>
      <c r="F820" s="4" t="inlineStr">
        <is>
          <t>Rita Ayala</t>
        </is>
      </c>
      <c r="G820" s="5" t="n">
        <v>87800</v>
      </c>
      <c r="H820" s="5" t="n">
        <v>4644.62</v>
      </c>
      <c r="I820" s="5" t="n">
        <v>1775.48</v>
      </c>
      <c r="J820" s="5" t="n">
        <v>68132.8</v>
      </c>
      <c r="K820" s="5" t="n">
        <v>68132.8</v>
      </c>
      <c r="L820" s="5" t="n">
        <v>0</v>
      </c>
      <c r="M820" s="5" t="n">
        <v>3601.54</v>
      </c>
      <c r="N820" s="5" t="n">
        <v>64531.26</v>
      </c>
      <c r="O820" s="5" t="n">
        <v>64531.26</v>
      </c>
      <c r="P820" s="4" t="n"/>
      <c r="Q820" s="6" t="n">
        <v>0.053</v>
      </c>
      <c r="R820" s="6" t="n">
        <v>0.0529</v>
      </c>
    </row>
    <row r="821">
      <c r="A821" s="4" t="inlineStr">
        <is>
          <t>26-PC-42962</t>
        </is>
      </c>
      <c r="B821" s="4" t="inlineStr">
        <is>
          <t>Lone Pine Curation</t>
        </is>
      </c>
      <c r="C821" s="4" t="inlineStr">
        <is>
          <t>In Progress</t>
        </is>
      </c>
      <c r="D821" s="4" t="inlineStr">
        <is>
          <t>Time and material</t>
        </is>
      </c>
      <c r="E821" s="4" t="inlineStr">
        <is>
          <t>Maritime</t>
        </is>
      </c>
      <c r="F821" s="4" t="inlineStr">
        <is>
          <t>Rita Ayala</t>
        </is>
      </c>
      <c r="G821" s="5" t="n">
        <v>1041700</v>
      </c>
      <c r="H821" s="5" t="n">
        <v>12393.75</v>
      </c>
      <c r="I821" s="5" t="n">
        <v>4165.92</v>
      </c>
      <c r="J821" s="5" t="n">
        <v>704293.37</v>
      </c>
      <c r="K821" s="5" t="n">
        <v>704293.37</v>
      </c>
      <c r="L821" s="5" t="n">
        <v>0</v>
      </c>
      <c r="M821" s="5" t="n">
        <v>7965.32</v>
      </c>
      <c r="N821" s="5" t="n">
        <v>696328.05</v>
      </c>
      <c r="O821" s="5" t="n">
        <v>696328.05</v>
      </c>
      <c r="P821" s="4" t="n"/>
      <c r="Q821" s="6" t="n">
        <v>0.012</v>
      </c>
      <c r="R821" s="6" t="n">
        <v>0.0113</v>
      </c>
    </row>
    <row r="822">
      <c r="A822" s="4" t="inlineStr">
        <is>
          <t>26-PC-42989</t>
        </is>
      </c>
      <c r="B822" s="4" t="inlineStr">
        <is>
          <t>North Fork Cultural Resources Monitoring</t>
        </is>
      </c>
      <c r="C822" s="4" t="inlineStr">
        <is>
          <t>In Progress</t>
        </is>
      </c>
      <c r="D822" s="4" t="inlineStr">
        <is>
          <t>Time and material</t>
        </is>
      </c>
      <c r="E822" s="4" t="inlineStr">
        <is>
          <t>Maritime</t>
        </is>
      </c>
      <c r="F822" s="4" t="inlineStr">
        <is>
          <t>Rita Ayala</t>
        </is>
      </c>
      <c r="G822" s="5" t="n">
        <v>24000</v>
      </c>
      <c r="H822" s="5" t="n">
        <v>1482</v>
      </c>
      <c r="I822" s="5" t="n">
        <v>1076.33</v>
      </c>
      <c r="J822" s="5" t="n">
        <v>15241.71</v>
      </c>
      <c r="K822" s="5" t="n">
        <v>11972.82</v>
      </c>
      <c r="L822" s="5" t="n">
        <v>3268.89</v>
      </c>
      <c r="M822" s="5" t="n">
        <v>928.45</v>
      </c>
      <c r="N822" s="5" t="n">
        <v>14313.26</v>
      </c>
      <c r="O822" s="5" t="n">
        <v>11044.37</v>
      </c>
      <c r="P822" s="4" t="n"/>
      <c r="Q822" s="6" t="n">
        <v>0.062</v>
      </c>
      <c r="R822" s="6" t="n">
        <v>0.0609</v>
      </c>
    </row>
    <row r="823">
      <c r="A823" s="4" t="inlineStr">
        <is>
          <t>26-PC-43039</t>
        </is>
      </c>
      <c r="B823" s="4" t="inlineStr">
        <is>
          <t>On-Call: Foxglove Reservoir Phase I Survey</t>
        </is>
      </c>
      <c r="C823" s="4" t="inlineStr">
        <is>
          <t>Final Reporting/Review</t>
        </is>
      </c>
      <c r="D823" s="4" t="inlineStr">
        <is>
          <t>Time and material</t>
        </is>
      </c>
      <c r="E823" s="4" t="inlineStr">
        <is>
          <t>Geospatial</t>
        </is>
      </c>
      <c r="F823" s="4" t="inlineStr">
        <is>
          <t>Sylvia Callahan</t>
        </is>
      </c>
      <c r="G823" s="5" t="n">
        <v>107600</v>
      </c>
      <c r="H823" s="5" t="n">
        <v>107600</v>
      </c>
      <c r="I823" s="5" t="n">
        <v>99262.67</v>
      </c>
      <c r="J823" s="5" t="n">
        <v>77827.42999999999</v>
      </c>
      <c r="K823" s="5" t="n">
        <v>68885.46000000001</v>
      </c>
      <c r="L823" s="5" t="n">
        <v>8941.969999999999</v>
      </c>
      <c r="M823" s="5" t="n">
        <v>89098.75</v>
      </c>
      <c r="N823" s="5" t="n">
        <v>-11271.32000000001</v>
      </c>
      <c r="O823" s="5" t="n">
        <v>-20213.28999999999</v>
      </c>
      <c r="P823" s="4" t="n"/>
      <c r="Q823" s="6" t="n">
        <v>1</v>
      </c>
      <c r="R823" s="6" t="n">
        <v>1.1448</v>
      </c>
    </row>
    <row r="824">
      <c r="A824" s="4" t="inlineStr">
        <is>
          <t>26-PC-43086</t>
        </is>
      </c>
      <c r="B824" s="4" t="inlineStr">
        <is>
          <t>On-Call: Silver Lake Transmission Line Archaeological Testing</t>
        </is>
      </c>
      <c r="C824" s="4" t="inlineStr">
        <is>
          <t>In Progress</t>
        </is>
      </c>
      <c r="D824" s="4" t="inlineStr">
        <is>
          <t>Time and material</t>
        </is>
      </c>
      <c r="E824" s="4" t="inlineStr">
        <is>
          <t>Geospatial</t>
        </is>
      </c>
      <c r="F824" s="4" t="inlineStr">
        <is>
          <t>Sylvia Callahan</t>
        </is>
      </c>
      <c r="G824" s="5" t="n">
        <v>2118800</v>
      </c>
      <c r="H824" s="5" t="n">
        <v>0</v>
      </c>
      <c r="I824" s="5" t="n">
        <v>0</v>
      </c>
      <c r="J824" s="5" t="n">
        <v>1431461.28</v>
      </c>
      <c r="K824" s="5" t="n">
        <v>1431461.28</v>
      </c>
      <c r="L824" s="5" t="n">
        <v>0</v>
      </c>
      <c r="M824" s="5" t="n">
        <v>0</v>
      </c>
      <c r="N824" s="5" t="n">
        <v>1431461.28</v>
      </c>
      <c r="O824" s="5" t="n">
        <v>1431461.28</v>
      </c>
      <c r="P824" s="4" t="n"/>
      <c r="Q824" s="6" t="n">
        <v>0</v>
      </c>
      <c r="R824" s="6" t="n">
        <v>0</v>
      </c>
    </row>
    <row r="825">
      <c r="A825" s="4" t="inlineStr">
        <is>
          <t>26-PC-43132</t>
        </is>
      </c>
      <c r="B825" s="4" t="inlineStr">
        <is>
          <t>Phase III: Ember Valley Highway Widening Phase II Testing</t>
        </is>
      </c>
      <c r="C825" s="4" t="inlineStr">
        <is>
          <t>Lab/Curation</t>
        </is>
      </c>
      <c r="D825" s="4" t="inlineStr">
        <is>
          <t>Fixed fee</t>
        </is>
      </c>
      <c r="E825" s="4" t="inlineStr">
        <is>
          <t>Geospatial</t>
        </is>
      </c>
      <c r="F825" s="4" t="inlineStr">
        <is>
          <t>Priscilla Pennington</t>
        </is>
      </c>
      <c r="G825" s="5" t="n">
        <v>140700</v>
      </c>
      <c r="H825" s="5" t="n">
        <v>47036.01</v>
      </c>
      <c r="I825" s="5" t="n">
        <v>43252.63</v>
      </c>
      <c r="J825" s="5" t="n">
        <v>112756.98</v>
      </c>
      <c r="K825" s="5" t="n">
        <v>112756.98</v>
      </c>
      <c r="L825" s="5" t="n">
        <v>0</v>
      </c>
      <c r="M825" s="5" t="n">
        <v>37690.1</v>
      </c>
      <c r="N825" s="5" t="n">
        <v>75066.88</v>
      </c>
      <c r="O825" s="5" t="n">
        <v>75066.88</v>
      </c>
      <c r="P825" s="4" t="n"/>
      <c r="Q825" s="6" t="n">
        <v>0.334</v>
      </c>
      <c r="R825" s="6" t="n">
        <v>0.3343</v>
      </c>
    </row>
    <row r="826">
      <c r="A826" s="4" t="inlineStr">
        <is>
          <t>26-PC-43136</t>
        </is>
      </c>
      <c r="B826" s="4" t="inlineStr">
        <is>
          <t>Phase III: Harbor View Highway Widening Section 106 Consultation</t>
        </is>
      </c>
      <c r="C826" s="4" t="inlineStr">
        <is>
          <t>In Progress</t>
        </is>
      </c>
      <c r="D826" s="4" t="inlineStr">
        <is>
          <t>Time and material</t>
        </is>
      </c>
      <c r="E826" s="4" t="inlineStr">
        <is>
          <t>Geospatial</t>
        </is>
      </c>
      <c r="F826" s="4" t="inlineStr">
        <is>
          <t>Priscilla Pennington</t>
        </is>
      </c>
      <c r="G826" s="5" t="n">
        <v>3831800</v>
      </c>
      <c r="H826" s="5" t="n">
        <v>168416.5</v>
      </c>
      <c r="I826" s="5" t="n">
        <v>138596.66</v>
      </c>
      <c r="J826" s="5" t="n">
        <v>2564623.74</v>
      </c>
      <c r="K826" s="5" t="n">
        <v>2564623.74</v>
      </c>
      <c r="L826" s="5" t="n">
        <v>0</v>
      </c>
      <c r="M826" s="5" t="n">
        <v>120256.61</v>
      </c>
      <c r="N826" s="5" t="n">
        <v>2444367.13</v>
      </c>
      <c r="O826" s="5" t="n">
        <v>2444367.13</v>
      </c>
      <c r="P826" s="4" t="n"/>
      <c r="Q826" s="6" t="n">
        <v>0.044</v>
      </c>
      <c r="R826" s="6" t="n">
        <v>0.0469</v>
      </c>
    </row>
    <row r="827">
      <c r="A827" s="4" t="inlineStr">
        <is>
          <t>26-PC-43168</t>
        </is>
      </c>
      <c r="B827" s="4" t="inlineStr">
        <is>
          <t>Task Order 35: Aspen Ridge Transmission Line Architectural History Survey</t>
        </is>
      </c>
      <c r="C827" s="4" t="inlineStr">
        <is>
          <t>Final Reporting/Review</t>
        </is>
      </c>
      <c r="D827" s="4" t="inlineStr">
        <is>
          <t>Fixed fee</t>
        </is>
      </c>
      <c r="E827" s="4" t="inlineStr">
        <is>
          <t>Geospatial</t>
        </is>
      </c>
      <c r="F827" s="4" t="inlineStr">
        <is>
          <t>Sylvia Callahan</t>
        </is>
      </c>
      <c r="G827" s="5" t="n">
        <v>281200</v>
      </c>
      <c r="H827" s="5" t="n">
        <v>84050.67999999999</v>
      </c>
      <c r="I827" s="5" t="n">
        <v>79022.62</v>
      </c>
      <c r="J827" s="5" t="n">
        <v>164749.65</v>
      </c>
      <c r="K827" s="5" t="n">
        <v>145548.52</v>
      </c>
      <c r="L827" s="5" t="n">
        <v>19201.13</v>
      </c>
      <c r="M827" s="5" t="n">
        <v>49236.49</v>
      </c>
      <c r="N827" s="5" t="n">
        <v>115513.16</v>
      </c>
      <c r="O827" s="5" t="n">
        <v>96312.03</v>
      </c>
      <c r="P827" s="4" t="n"/>
      <c r="Q827" s="6" t="n">
        <v>0.299</v>
      </c>
      <c r="R827" s="6" t="n">
        <v>0.2989</v>
      </c>
    </row>
    <row r="828">
      <c r="A828" s="4" t="inlineStr">
        <is>
          <t>26-PC-43199</t>
        </is>
      </c>
      <c r="B828" s="4" t="inlineStr">
        <is>
          <t>Thistle Down Airport Apron Phase I Survey</t>
        </is>
      </c>
      <c r="C828" s="4" t="inlineStr">
        <is>
          <t>Cost Tracking on Closed Project</t>
        </is>
      </c>
      <c r="D828" s="4" t="inlineStr">
        <is>
          <t>Fixed fee</t>
        </is>
      </c>
      <c r="E828" s="4" t="inlineStr">
        <is>
          <t>Meridian Central</t>
        </is>
      </c>
      <c r="F828" s="4" t="inlineStr">
        <is>
          <t>Mathew Shea</t>
        </is>
      </c>
      <c r="G828" s="5" t="n">
        <v>42200</v>
      </c>
      <c r="H828" s="5" t="n">
        <v>38937.94</v>
      </c>
      <c r="I828" s="5" t="n">
        <v>38937.94</v>
      </c>
      <c r="J828" s="5" t="n">
        <v>26341.24</v>
      </c>
      <c r="K828" s="5" t="n">
        <v>26341.24</v>
      </c>
      <c r="L828" s="5" t="n">
        <v>0</v>
      </c>
      <c r="M828" s="5" t="n">
        <v>24305.56</v>
      </c>
      <c r="N828" s="5" t="n">
        <v>2035.68</v>
      </c>
      <c r="O828" s="5" t="n">
        <v>2035.68</v>
      </c>
      <c r="P828" s="4" t="n"/>
      <c r="Q828" s="6" t="n">
        <v>0.923</v>
      </c>
      <c r="R828" s="6" t="n">
        <v>0.9227</v>
      </c>
    </row>
    <row r="829">
      <c r="A829" s="4" t="inlineStr">
        <is>
          <t>26-PC-43266</t>
        </is>
      </c>
      <c r="B829" s="4" t="inlineStr">
        <is>
          <t>Silver Lake Curation</t>
        </is>
      </c>
      <c r="C829" s="4" t="inlineStr">
        <is>
          <t>In Progress</t>
        </is>
      </c>
      <c r="D829" s="4" t="inlineStr">
        <is>
          <t>Fixed fee</t>
        </is>
      </c>
      <c r="E829" s="4" t="inlineStr">
        <is>
          <t>Meridian Central</t>
        </is>
      </c>
      <c r="F829" s="4" t="inlineStr">
        <is>
          <t>Mathew Shea</t>
        </is>
      </c>
      <c r="G829" s="5" t="n">
        <v>21300</v>
      </c>
      <c r="H829" s="5" t="n">
        <v>464.34</v>
      </c>
      <c r="I829" s="5" t="n">
        <v>217.28</v>
      </c>
      <c r="J829" s="5" t="n">
        <v>13227.3</v>
      </c>
      <c r="K829" s="5" t="n">
        <v>13227.3</v>
      </c>
      <c r="L829" s="5" t="n">
        <v>0</v>
      </c>
      <c r="M829" s="5" t="n">
        <v>288.09</v>
      </c>
      <c r="N829" s="5" t="n">
        <v>12939.21</v>
      </c>
      <c r="O829" s="5" t="n">
        <v>12939.21</v>
      </c>
      <c r="P829" s="4" t="n"/>
      <c r="Q829" s="6" t="n">
        <v>0.022</v>
      </c>
      <c r="R829" s="6" t="n">
        <v>0.0218</v>
      </c>
    </row>
    <row r="830">
      <c r="A830" s="4" t="inlineStr">
        <is>
          <t>26-PC-43307</t>
        </is>
      </c>
      <c r="B830" s="4" t="inlineStr">
        <is>
          <t>Phase III: Aspen Ridge Mine Expansion Maritime Remote Sensing Survey</t>
        </is>
      </c>
      <c r="C830" s="4" t="inlineStr">
        <is>
          <t>In Progress</t>
        </is>
      </c>
      <c r="D830" s="4" t="inlineStr">
        <is>
          <t>Time and material</t>
        </is>
      </c>
      <c r="E830" s="4" t="inlineStr">
        <is>
          <t>Meridian Central</t>
        </is>
      </c>
      <c r="F830" s="4" t="inlineStr">
        <is>
          <t>Raymond Hensley</t>
        </is>
      </c>
      <c r="G830" s="5" t="n">
        <v>239600</v>
      </c>
      <c r="H830" s="5" t="n">
        <v>71378.75</v>
      </c>
      <c r="I830" s="5" t="n">
        <v>71378.75</v>
      </c>
      <c r="J830" s="5" t="n">
        <v>189451.72</v>
      </c>
      <c r="K830" s="5" t="n">
        <v>189451.72</v>
      </c>
      <c r="L830" s="5" t="n">
        <v>0</v>
      </c>
      <c r="M830" s="5" t="n">
        <v>52539.33</v>
      </c>
      <c r="N830" s="5" t="n">
        <v>136912.39</v>
      </c>
      <c r="O830" s="5" t="n">
        <v>136912.39</v>
      </c>
      <c r="P830" s="4" t="n"/>
      <c r="Q830" s="6" t="n">
        <v>0.298</v>
      </c>
      <c r="R830" s="6" t="n">
        <v>0.2773</v>
      </c>
    </row>
    <row r="831">
      <c r="A831" s="4" t="inlineStr">
        <is>
          <t>26-PC-43329</t>
        </is>
      </c>
      <c r="B831" s="4" t="inlineStr">
        <is>
          <t>Sumac Ridge Cell Tower Built Environment Survey</t>
        </is>
      </c>
      <c r="C831" s="4" t="inlineStr">
        <is>
          <t>In Progress</t>
        </is>
      </c>
      <c r="D831" s="4" t="inlineStr">
        <is>
          <t>Fixed fee</t>
        </is>
      </c>
      <c r="E831" s="4" t="inlineStr">
        <is>
          <t>Meridian Central</t>
        </is>
      </c>
      <c r="F831" s="4" t="inlineStr">
        <is>
          <t>Mathew Shea</t>
        </is>
      </c>
      <c r="G831" s="5" t="n">
        <v>41200</v>
      </c>
      <c r="H831" s="5" t="n">
        <v>30945.32</v>
      </c>
      <c r="I831" s="5" t="n">
        <v>29998.17</v>
      </c>
      <c r="J831" s="5" t="n">
        <v>27426.84</v>
      </c>
      <c r="K831" s="5" t="n">
        <v>27426.84</v>
      </c>
      <c r="L831" s="5" t="n">
        <v>0</v>
      </c>
      <c r="M831" s="5" t="n">
        <v>20599.46</v>
      </c>
      <c r="N831" s="5" t="n">
        <v>6827.380000000001</v>
      </c>
      <c r="O831" s="5" t="n">
        <v>6827.380000000001</v>
      </c>
      <c r="P831" s="4" t="n"/>
      <c r="Q831" s="6" t="n">
        <v>0.751</v>
      </c>
      <c r="R831" s="6" t="n">
        <v>0.7511</v>
      </c>
    </row>
    <row r="832">
      <c r="A832" s="4" t="inlineStr">
        <is>
          <t>26-PC-43338</t>
        </is>
      </c>
      <c r="B832" s="4" t="inlineStr">
        <is>
          <t>Sparrow Hill Bridge Replacement Section 106 Consultation</t>
        </is>
      </c>
      <c r="C832" s="4" t="inlineStr">
        <is>
          <t>In Progress</t>
        </is>
      </c>
      <c r="D832" s="4" t="inlineStr">
        <is>
          <t>Time and material</t>
        </is>
      </c>
      <c r="E832" s="4" t="inlineStr">
        <is>
          <t>Meridian Central</t>
        </is>
      </c>
      <c r="F832" s="4" t="inlineStr">
        <is>
          <t>Raymond Hensley</t>
        </is>
      </c>
      <c r="G832" s="5" t="n">
        <v>121900</v>
      </c>
      <c r="H832" s="5" t="n">
        <v>0</v>
      </c>
      <c r="I832" s="5" t="n">
        <v>0</v>
      </c>
      <c r="J832" s="5" t="n">
        <v>79125.28999999999</v>
      </c>
      <c r="K832" s="5" t="n">
        <v>79125.28999999999</v>
      </c>
      <c r="L832" s="5" t="n">
        <v>0</v>
      </c>
      <c r="M832" s="5" t="n">
        <v>0</v>
      </c>
      <c r="N832" s="5" t="n">
        <v>79125.28999999999</v>
      </c>
      <c r="O832" s="5" t="n">
        <v>79125.28999999999</v>
      </c>
      <c r="P832" s="4" t="n"/>
      <c r="Q832" s="6" t="n">
        <v>0</v>
      </c>
      <c r="R832" s="6" t="n">
        <v>0</v>
      </c>
    </row>
    <row r="833">
      <c r="A833" s="4" t="inlineStr">
        <is>
          <t>26-PC-43364</t>
        </is>
      </c>
      <c r="B833" s="4" t="inlineStr">
        <is>
          <t>Goldfinch Class III Survey</t>
        </is>
      </c>
      <c r="C833" s="4" t="inlineStr">
        <is>
          <t>Transferred Entity</t>
        </is>
      </c>
      <c r="D833" s="4" t="inlineStr">
        <is>
          <t>Fixed fee</t>
        </is>
      </c>
      <c r="E833" s="4" t="inlineStr">
        <is>
          <t>Meridian Central</t>
        </is>
      </c>
      <c r="F833" s="4" t="inlineStr">
        <is>
          <t>Raymond Hensley</t>
        </is>
      </c>
      <c r="G833" s="5" t="n">
        <v>24900</v>
      </c>
      <c r="H833" s="5" t="n">
        <v>24900</v>
      </c>
      <c r="I833" s="5" t="n">
        <v>23821.32</v>
      </c>
      <c r="J833" s="5" t="n">
        <v>16624.07</v>
      </c>
      <c r="K833" s="5" t="n">
        <v>15142.4</v>
      </c>
      <c r="L833" s="5" t="n">
        <v>1481.67</v>
      </c>
      <c r="M833" s="5" t="n">
        <v>22825.96</v>
      </c>
      <c r="N833" s="5" t="n">
        <v>-6201.889999999999</v>
      </c>
      <c r="O833" s="5" t="n">
        <v>-7683.559999999999</v>
      </c>
      <c r="P833" s="4" t="n"/>
      <c r="Q833" s="6" t="n">
        <v>1</v>
      </c>
      <c r="R833" s="6" t="n">
        <v>1.3731</v>
      </c>
    </row>
    <row r="834">
      <c r="A834" s="4" t="inlineStr">
        <is>
          <t>26-PC-43381</t>
        </is>
      </c>
      <c r="B834" s="4" t="inlineStr">
        <is>
          <t>Lantern Bay Canal Lining Archaeological Testing</t>
        </is>
      </c>
      <c r="C834" s="4" t="inlineStr">
        <is>
          <t>In Progress</t>
        </is>
      </c>
      <c r="D834" s="4" t="inlineStr">
        <is>
          <t>Fixed fee</t>
        </is>
      </c>
      <c r="E834" s="4" t="inlineStr">
        <is>
          <t>Meridian Central</t>
        </is>
      </c>
      <c r="F834" s="4" t="inlineStr">
        <is>
          <t>Clinton Solis</t>
        </is>
      </c>
      <c r="G834" s="5" t="n">
        <v>309600</v>
      </c>
      <c r="H834" s="5" t="n">
        <v>23684.4</v>
      </c>
      <c r="I834" s="5" t="n">
        <v>7401.4</v>
      </c>
      <c r="J834" s="5" t="n">
        <v>249847.2</v>
      </c>
      <c r="K834" s="5" t="n">
        <v>249847.2</v>
      </c>
      <c r="L834" s="5" t="n">
        <v>0</v>
      </c>
      <c r="M834" s="5" t="n">
        <v>19118.33</v>
      </c>
      <c r="N834" s="5" t="n">
        <v>230728.87</v>
      </c>
      <c r="O834" s="5" t="n">
        <v>230728.87</v>
      </c>
      <c r="P834" s="4" t="n"/>
      <c r="Q834" s="6" t="n">
        <v>0.076</v>
      </c>
      <c r="R834" s="6" t="n">
        <v>0.0765</v>
      </c>
    </row>
    <row r="835">
      <c r="A835" s="4" t="inlineStr">
        <is>
          <t>26-PC-43429</t>
        </is>
      </c>
      <c r="B835" s="4" t="inlineStr">
        <is>
          <t>Stone Mill Highway Widening Curation</t>
        </is>
      </c>
      <c r="C835" s="4" t="inlineStr">
        <is>
          <t>Transferred Entity</t>
        </is>
      </c>
      <c r="D835" s="4" t="inlineStr">
        <is>
          <t>Fixed fee</t>
        </is>
      </c>
      <c r="E835" s="4" t="inlineStr">
        <is>
          <t>Meridian Central</t>
        </is>
      </c>
      <c r="F835" s="4" t="inlineStr">
        <is>
          <t>Clinton Solis</t>
        </is>
      </c>
      <c r="G835" s="5" t="n">
        <v>202600</v>
      </c>
      <c r="H835" s="5" t="n">
        <v>10514.94</v>
      </c>
      <c r="I835" s="5" t="n">
        <v>5068.52</v>
      </c>
      <c r="J835" s="5" t="n">
        <v>115400.96</v>
      </c>
      <c r="K835" s="5" t="n">
        <v>115400.96</v>
      </c>
      <c r="L835" s="5" t="n">
        <v>0</v>
      </c>
      <c r="M835" s="5" t="n">
        <v>5994.77</v>
      </c>
      <c r="N835" s="5" t="n">
        <v>109406.19</v>
      </c>
      <c r="O835" s="5" t="n">
        <v>109406.19</v>
      </c>
      <c r="P835" s="4" t="n"/>
      <c r="Q835" s="6" t="n">
        <v>0.052</v>
      </c>
      <c r="R835" s="6" t="n">
        <v>0.0519</v>
      </c>
    </row>
    <row r="836">
      <c r="A836" s="4" t="inlineStr">
        <is>
          <t>26-PC-43478</t>
        </is>
      </c>
      <c r="B836" s="4" t="inlineStr">
        <is>
          <t>Tamarack Airport Apron Phase II Testing</t>
        </is>
      </c>
      <c r="C836" s="4" t="inlineStr">
        <is>
          <t>In Progress</t>
        </is>
      </c>
      <c r="D836" s="4" t="inlineStr">
        <is>
          <t>Time and material</t>
        </is>
      </c>
      <c r="E836" s="4" t="inlineStr">
        <is>
          <t>Meridian Central</t>
        </is>
      </c>
      <c r="F836" s="4" t="inlineStr">
        <is>
          <t>Clinton Solis</t>
        </is>
      </c>
      <c r="G836" s="5" t="n">
        <v>531800</v>
      </c>
      <c r="H836" s="5" t="n">
        <v>167292.25</v>
      </c>
      <c r="I836" s="5" t="n">
        <v>118587.81</v>
      </c>
      <c r="J836" s="5" t="n">
        <v>378109.8</v>
      </c>
      <c r="K836" s="5" t="n">
        <v>378109.8</v>
      </c>
      <c r="L836" s="5" t="n">
        <v>0</v>
      </c>
      <c r="M836" s="5" t="n">
        <v>117552.59</v>
      </c>
      <c r="N836" s="5" t="n">
        <v>260557.21</v>
      </c>
      <c r="O836" s="5" t="n">
        <v>260557.21</v>
      </c>
      <c r="P836" s="4" t="n"/>
      <c r="Q836" s="6" t="n">
        <v>0.315</v>
      </c>
      <c r="R836" s="6" t="n">
        <v>0.3109</v>
      </c>
    </row>
    <row r="837">
      <c r="A837" s="4" t="inlineStr">
        <is>
          <t>26-PC-43493</t>
        </is>
      </c>
      <c r="B837" s="4" t="inlineStr">
        <is>
          <t>Millbrook Pipeline Cultural Resources Monitoring</t>
        </is>
      </c>
      <c r="C837" s="4" t="inlineStr">
        <is>
          <t>In Progress</t>
        </is>
      </c>
      <c r="D837" s="4" t="inlineStr">
        <is>
          <t>Time and material</t>
        </is>
      </c>
      <c r="E837" s="4" t="inlineStr">
        <is>
          <t>Meridian Central</t>
        </is>
      </c>
      <c r="F837" s="4" t="inlineStr">
        <is>
          <t>Raymond Hensley</t>
        </is>
      </c>
      <c r="G837" s="5" t="n">
        <v>1164300</v>
      </c>
      <c r="H837" s="5" t="n">
        <v>96389</v>
      </c>
      <c r="I837" s="5" t="n">
        <v>74613.99000000001</v>
      </c>
      <c r="J837" s="5" t="n">
        <v>893116.35</v>
      </c>
      <c r="K837" s="5" t="n">
        <v>726254.3</v>
      </c>
      <c r="L837" s="5" t="n">
        <v>166862.05</v>
      </c>
      <c r="M837" s="5" t="n">
        <v>66672.17999999999</v>
      </c>
      <c r="N837" s="5" t="n">
        <v>826444.1699999999</v>
      </c>
      <c r="O837" s="5" t="n">
        <v>659582.1200000001</v>
      </c>
      <c r="P837" s="4" t="n"/>
      <c r="Q837" s="6" t="n">
        <v>0.083</v>
      </c>
      <c r="R837" s="6" t="n">
        <v>0.0747</v>
      </c>
    </row>
    <row r="838">
      <c r="A838" s="4" t="inlineStr">
        <is>
          <t>26-PC-43527</t>
        </is>
      </c>
      <c r="B838" s="4" t="inlineStr">
        <is>
          <t>Maple Fork School Campus Phase II Testing</t>
        </is>
      </c>
      <c r="C838" s="4" t="inlineStr">
        <is>
          <t>In Progress</t>
        </is>
      </c>
      <c r="D838" s="4" t="inlineStr">
        <is>
          <t>Time and material</t>
        </is>
      </c>
      <c r="E838" s="4" t="inlineStr">
        <is>
          <t>Meridian Central</t>
        </is>
      </c>
      <c r="F838" s="4" t="inlineStr">
        <is>
          <t>Raymond Hensley</t>
        </is>
      </c>
      <c r="G838" s="5" t="n">
        <v>333700</v>
      </c>
      <c r="H838" s="5" t="n">
        <v>77471</v>
      </c>
      <c r="I838" s="5" t="n">
        <v>72040.32000000001</v>
      </c>
      <c r="J838" s="5" t="n">
        <v>224680.21</v>
      </c>
      <c r="K838" s="5" t="n">
        <v>224680.21</v>
      </c>
      <c r="L838" s="5" t="n">
        <v>0</v>
      </c>
      <c r="M838" s="5" t="n">
        <v>53521.21</v>
      </c>
      <c r="N838" s="5" t="n">
        <v>171159</v>
      </c>
      <c r="O838" s="5" t="n">
        <v>171159</v>
      </c>
      <c r="P838" s="4" t="n"/>
      <c r="Q838" s="6" t="n">
        <v>0.232</v>
      </c>
      <c r="R838" s="6" t="n">
        <v>0.2382</v>
      </c>
    </row>
    <row r="839">
      <c r="A839" s="4" t="inlineStr">
        <is>
          <t>26-PC-43528</t>
        </is>
      </c>
      <c r="B839" s="4" t="inlineStr">
        <is>
          <t>Quail Run Cell Tower GIS Mapping</t>
        </is>
      </c>
      <c r="C839" s="4" t="inlineStr">
        <is>
          <t>Final Reporting/Review</t>
        </is>
      </c>
      <c r="D839" s="4" t="inlineStr">
        <is>
          <t>Fixed fee</t>
        </is>
      </c>
      <c r="E839" s="4" t="inlineStr">
        <is>
          <t>Meridian Central</t>
        </is>
      </c>
      <c r="F839" s="4" t="inlineStr">
        <is>
          <t>Mathew Shea</t>
        </is>
      </c>
      <c r="G839" s="5" t="n">
        <v>21800</v>
      </c>
      <c r="H839" s="5" t="n">
        <v>18639</v>
      </c>
      <c r="I839" s="5" t="n">
        <v>5521.71</v>
      </c>
      <c r="J839" s="5" t="n">
        <v>14869.78</v>
      </c>
      <c r="K839" s="5" t="n">
        <v>14869.78</v>
      </c>
      <c r="L839" s="5" t="n">
        <v>0</v>
      </c>
      <c r="M839" s="5" t="n">
        <v>12713.55</v>
      </c>
      <c r="N839" s="5" t="n">
        <v>2156.230000000001</v>
      </c>
      <c r="O839" s="5" t="n">
        <v>2156.230000000001</v>
      </c>
      <c r="P839" s="4" t="n"/>
      <c r="Q839" s="6" t="n">
        <v>0.855</v>
      </c>
      <c r="R839" s="6" t="n">
        <v>0.855</v>
      </c>
    </row>
    <row r="840">
      <c r="A840" s="4" t="inlineStr">
        <is>
          <t>26-PC-43546</t>
        </is>
      </c>
      <c r="B840" s="4" t="inlineStr">
        <is>
          <t>Stone Mill Wastewater Plant - GIS Mapping</t>
        </is>
      </c>
      <c r="C840" s="4" t="inlineStr">
        <is>
          <t>In Progress</t>
        </is>
      </c>
      <c r="D840" s="4" t="inlineStr">
        <is>
          <t>Fixed fee</t>
        </is>
      </c>
      <c r="E840" s="4" t="inlineStr">
        <is>
          <t>Meridian Central</t>
        </is>
      </c>
      <c r="F840" s="4" t="inlineStr">
        <is>
          <t>Clinton Solis</t>
        </is>
      </c>
      <c r="G840" s="5" t="n">
        <v>136900</v>
      </c>
      <c r="H840" s="5" t="n">
        <v>131026.99</v>
      </c>
      <c r="I840" s="5" t="n">
        <v>130552.64</v>
      </c>
      <c r="J840" s="5" t="n">
        <v>105043.37</v>
      </c>
      <c r="K840" s="5" t="n">
        <v>105043.37</v>
      </c>
      <c r="L840" s="5" t="n">
        <v>0</v>
      </c>
      <c r="M840" s="5" t="n">
        <v>100533.21</v>
      </c>
      <c r="N840" s="5" t="n">
        <v>4510.159999999989</v>
      </c>
      <c r="O840" s="5" t="n">
        <v>4510.159999999989</v>
      </c>
      <c r="P840" s="4" t="n"/>
      <c r="Q840" s="6" t="n">
        <v>0.957</v>
      </c>
      <c r="R840" s="6" t="n">
        <v>0.9571</v>
      </c>
    </row>
    <row r="841">
      <c r="A841" s="4" t="inlineStr">
        <is>
          <t>26-PC-43563</t>
        </is>
      </c>
      <c r="B841" s="4" t="inlineStr">
        <is>
          <t>Thistle Down Section 106 Consultation</t>
        </is>
      </c>
      <c r="C841" s="4" t="inlineStr">
        <is>
          <t>In Progress</t>
        </is>
      </c>
      <c r="D841" s="4" t="inlineStr">
        <is>
          <t>Time and material</t>
        </is>
      </c>
      <c r="E841" s="4" t="inlineStr">
        <is>
          <t>Meridian Central</t>
        </is>
      </c>
      <c r="F841" s="4" t="inlineStr">
        <is>
          <t>Mathew Shea</t>
        </is>
      </c>
      <c r="G841" s="5" t="n">
        <v>79800</v>
      </c>
      <c r="H841" s="5" t="n">
        <v>25811.25</v>
      </c>
      <c r="I841" s="5" t="n">
        <v>19196.62</v>
      </c>
      <c r="J841" s="5" t="n">
        <v>52393.25</v>
      </c>
      <c r="K841" s="5" t="n">
        <v>45333</v>
      </c>
      <c r="L841" s="5" t="n">
        <v>7060.25</v>
      </c>
      <c r="M841" s="5" t="n">
        <v>16759.41</v>
      </c>
      <c r="N841" s="5" t="n">
        <v>35633.84</v>
      </c>
      <c r="O841" s="5" t="n">
        <v>28573.59</v>
      </c>
      <c r="P841" s="4" t="n"/>
      <c r="Q841" s="6" t="n">
        <v>0.323</v>
      </c>
      <c r="R841" s="6" t="n">
        <v>0.3199</v>
      </c>
    </row>
    <row r="842">
      <c r="A842" s="4" t="inlineStr">
        <is>
          <t>26-PC-43575</t>
        </is>
      </c>
      <c r="B842" s="4" t="inlineStr">
        <is>
          <t>On-Call: Fern Valley Substation Data Recovery</t>
        </is>
      </c>
      <c r="C842" s="4" t="inlineStr">
        <is>
          <t>Lab/Curation</t>
        </is>
      </c>
      <c r="D842" s="4" t="inlineStr">
        <is>
          <t>Fixed fee</t>
        </is>
      </c>
      <c r="E842" s="4" t="inlineStr">
        <is>
          <t>Meridian Central</t>
        </is>
      </c>
      <c r="F842" s="4" t="inlineStr">
        <is>
          <t>Mathew Shea</t>
        </is>
      </c>
      <c r="G842" s="5" t="n">
        <v>113100</v>
      </c>
      <c r="H842" s="5" t="n">
        <v>79645.02</v>
      </c>
      <c r="I842" s="5" t="n">
        <v>74740.94</v>
      </c>
      <c r="J842" s="5" t="n">
        <v>87831.71000000001</v>
      </c>
      <c r="K842" s="5" t="n">
        <v>66733.2</v>
      </c>
      <c r="L842" s="5" t="n">
        <v>21098.51</v>
      </c>
      <c r="M842" s="5" t="n">
        <v>61848.22</v>
      </c>
      <c r="N842" s="5" t="n">
        <v>25983.49000000001</v>
      </c>
      <c r="O842" s="5" t="n">
        <v>4884.979999999996</v>
      </c>
      <c r="P842" s="4" t="n"/>
      <c r="Q842" s="6" t="n">
        <v>0.704</v>
      </c>
      <c r="R842" s="6" t="n">
        <v>0.7042</v>
      </c>
    </row>
    <row r="843">
      <c r="A843" s="4" t="inlineStr">
        <is>
          <t>26-PC-43584</t>
        </is>
      </c>
      <c r="B843" s="4" t="inlineStr">
        <is>
          <t>On-Call: Wren Hollow Solar Architectural History Survey</t>
        </is>
      </c>
      <c r="C843" s="4" t="inlineStr">
        <is>
          <t>In Progress</t>
        </is>
      </c>
      <c r="D843" s="4" t="inlineStr">
        <is>
          <t>Fixed fee</t>
        </is>
      </c>
      <c r="E843" s="4" t="inlineStr">
        <is>
          <t>Meridian Central</t>
        </is>
      </c>
      <c r="F843" s="4" t="inlineStr">
        <is>
          <t>Mathew Shea</t>
        </is>
      </c>
      <c r="G843" s="5" t="n">
        <v>223700</v>
      </c>
      <c r="H843" s="5" t="n">
        <v>0</v>
      </c>
      <c r="I843" s="5" t="n">
        <v>0</v>
      </c>
      <c r="J843" s="5" t="n">
        <v>185536.78</v>
      </c>
      <c r="K843" s="5" t="n">
        <v>185536.78</v>
      </c>
      <c r="L843" s="5" t="n">
        <v>0</v>
      </c>
      <c r="M843" s="5" t="n">
        <v>0</v>
      </c>
      <c r="N843" s="5" t="n">
        <v>185536.78</v>
      </c>
      <c r="O843" s="5" t="n">
        <v>185536.78</v>
      </c>
      <c r="P843" s="4" t="n"/>
      <c r="Q843" s="6" t="n">
        <v>0</v>
      </c>
      <c r="R843" s="6" t="n">
        <v>0</v>
      </c>
    </row>
    <row r="844">
      <c r="A844" s="4" t="inlineStr">
        <is>
          <t>26-PC-43695</t>
        </is>
      </c>
      <c r="B844" s="4" t="inlineStr">
        <is>
          <t>Willow Springs Maritime Remote Sensing Survey</t>
        </is>
      </c>
      <c r="C844" s="4" t="inlineStr">
        <is>
          <t>In Progress</t>
        </is>
      </c>
      <c r="D844" s="4" t="inlineStr">
        <is>
          <t>Fixed fee</t>
        </is>
      </c>
      <c r="E844" s="4" t="inlineStr">
        <is>
          <t>Meridian Southwest</t>
        </is>
      </c>
      <c r="F844" s="4" t="inlineStr">
        <is>
          <t>Alan Gay</t>
        </is>
      </c>
      <c r="G844" s="5" t="n">
        <v>104700</v>
      </c>
      <c r="H844" s="5" t="n">
        <v>36027.27</v>
      </c>
      <c r="I844" s="5" t="n">
        <v>27395.63</v>
      </c>
      <c r="J844" s="5" t="n">
        <v>73750.67999999999</v>
      </c>
      <c r="K844" s="5" t="n">
        <v>73750.67999999999</v>
      </c>
      <c r="L844" s="5" t="n">
        <v>0</v>
      </c>
      <c r="M844" s="5" t="n">
        <v>25376.37</v>
      </c>
      <c r="N844" s="5" t="n">
        <v>48374.31</v>
      </c>
      <c r="O844" s="5" t="n">
        <v>48374.31</v>
      </c>
      <c r="P844" s="4" t="n"/>
      <c r="Q844" s="6" t="n">
        <v>0.344</v>
      </c>
      <c r="R844" s="6" t="n">
        <v>0.3441</v>
      </c>
    </row>
    <row r="845">
      <c r="A845" s="4" t="inlineStr">
        <is>
          <t>26-PC-43731</t>
        </is>
      </c>
      <c r="B845" s="4" t="inlineStr">
        <is>
          <t>Task Order 32: Dove Canyon Transmission Line Paleontological Monitoring</t>
        </is>
      </c>
      <c r="C845" s="4" t="inlineStr">
        <is>
          <t>In Progress</t>
        </is>
      </c>
      <c r="D845" s="4" t="inlineStr">
        <is>
          <t>Time and material</t>
        </is>
      </c>
      <c r="E845" s="4" t="inlineStr">
        <is>
          <t>Meridian Southwest</t>
        </is>
      </c>
      <c r="F845" s="4" t="inlineStr">
        <is>
          <t>Alan Gay</t>
        </is>
      </c>
      <c r="G845" s="5" t="n">
        <v>17700</v>
      </c>
      <c r="H845" s="5" t="n">
        <v>0</v>
      </c>
      <c r="I845" s="5" t="n">
        <v>0</v>
      </c>
      <c r="J845" s="5" t="n">
        <v>12905.07</v>
      </c>
      <c r="K845" s="5" t="n">
        <v>12905.07</v>
      </c>
      <c r="L845" s="5" t="n">
        <v>0</v>
      </c>
      <c r="M845" s="5" t="n">
        <v>0</v>
      </c>
      <c r="N845" s="5" t="n">
        <v>12905.07</v>
      </c>
      <c r="O845" s="5" t="n">
        <v>12905.07</v>
      </c>
      <c r="P845" s="4" t="n"/>
      <c r="Q845" s="6" t="n">
        <v>0</v>
      </c>
      <c r="R845" s="6" t="n">
        <v>0</v>
      </c>
    </row>
    <row r="846">
      <c r="A846" s="4" t="inlineStr">
        <is>
          <t>26-PC-43762</t>
        </is>
      </c>
      <c r="B846" s="4" t="inlineStr">
        <is>
          <t>Hawk Point Substation Paleontological Monitoring</t>
        </is>
      </c>
      <c r="C846" s="4" t="inlineStr">
        <is>
          <t>In Progress</t>
        </is>
      </c>
      <c r="D846" s="4" t="inlineStr">
        <is>
          <t>Fixed fee</t>
        </is>
      </c>
      <c r="E846" s="4" t="inlineStr">
        <is>
          <t>Meridian Southwest</t>
        </is>
      </c>
      <c r="F846" s="4" t="inlineStr">
        <is>
          <t>Lynn Tran</t>
        </is>
      </c>
      <c r="G846" s="5" t="n">
        <v>17500</v>
      </c>
      <c r="H846" s="5" t="n">
        <v>946.75</v>
      </c>
      <c r="I846" s="5" t="n">
        <v>335.45</v>
      </c>
      <c r="J846" s="5" t="n">
        <v>15400</v>
      </c>
      <c r="K846" s="5" t="n">
        <v>15400</v>
      </c>
      <c r="L846" s="5" t="n">
        <v>0</v>
      </c>
      <c r="M846" s="5" t="n">
        <v>832.67</v>
      </c>
      <c r="N846" s="5" t="n">
        <v>14567.33</v>
      </c>
      <c r="O846" s="5" t="n">
        <v>14567.33</v>
      </c>
      <c r="P846" s="4" t="n"/>
      <c r="Q846" s="6" t="n">
        <v>0.054</v>
      </c>
      <c r="R846" s="6" t="n">
        <v>0.0541</v>
      </c>
    </row>
    <row r="847">
      <c r="A847" s="4" t="inlineStr">
        <is>
          <t>26-PC-43818</t>
        </is>
      </c>
      <c r="B847" s="4" t="inlineStr">
        <is>
          <t>Plover Cove Cultural Resources Monitoring</t>
        </is>
      </c>
      <c r="C847" s="4" t="inlineStr">
        <is>
          <t>Final Reporting/Review</t>
        </is>
      </c>
      <c r="D847" s="4" t="inlineStr">
        <is>
          <t>Fixed fee</t>
        </is>
      </c>
      <c r="E847" s="4" t="inlineStr">
        <is>
          <t>Meridian Southwest</t>
        </is>
      </c>
      <c r="F847" s="4" t="inlineStr">
        <is>
          <t>Lynn Tran</t>
        </is>
      </c>
      <c r="G847" s="5" t="n">
        <v>277600</v>
      </c>
      <c r="H847" s="5" t="n">
        <v>32062.8</v>
      </c>
      <c r="I847" s="5" t="n">
        <v>22111.94</v>
      </c>
      <c r="J847" s="5" t="n">
        <v>226882.48</v>
      </c>
      <c r="K847" s="5" t="n">
        <v>226882.48</v>
      </c>
      <c r="L847" s="5" t="n">
        <v>0</v>
      </c>
      <c r="M847" s="5" t="n">
        <v>26203.95</v>
      </c>
      <c r="N847" s="5" t="n">
        <v>200678.53</v>
      </c>
      <c r="O847" s="5" t="n">
        <v>200678.53</v>
      </c>
      <c r="P847" s="4" t="n"/>
      <c r="Q847" s="6" t="n">
        <v>0.116</v>
      </c>
      <c r="R847" s="6" t="n">
        <v>0.1155</v>
      </c>
    </row>
    <row r="848">
      <c r="A848" s="4" t="inlineStr">
        <is>
          <t>26-PC-43874</t>
        </is>
      </c>
      <c r="B848" s="4" t="inlineStr">
        <is>
          <t>Oak Terrace Cell Tower - Class III Survey</t>
        </is>
      </c>
      <c r="C848" s="4" t="inlineStr">
        <is>
          <t>Transferred Entity</t>
        </is>
      </c>
      <c r="D848" s="4" t="inlineStr">
        <is>
          <t>Fixed fee</t>
        </is>
      </c>
      <c r="E848" s="4" t="inlineStr">
        <is>
          <t>NH Gulf (USD)</t>
        </is>
      </c>
      <c r="F848" s="4" t="inlineStr">
        <is>
          <t>Justin Mejia</t>
        </is>
      </c>
      <c r="G848" s="5" t="n">
        <v>72100</v>
      </c>
      <c r="H848" s="5" t="n">
        <v>0</v>
      </c>
      <c r="I848" s="5" t="n">
        <v>0</v>
      </c>
      <c r="J848" s="5" t="n">
        <v>51991.31</v>
      </c>
      <c r="K848" s="5" t="n">
        <v>51991.31</v>
      </c>
      <c r="L848" s="5" t="n">
        <v>0</v>
      </c>
      <c r="M848" s="5" t="n">
        <v>0</v>
      </c>
      <c r="N848" s="5" t="n">
        <v>51991.31</v>
      </c>
      <c r="O848" s="5" t="n">
        <v>51991.31</v>
      </c>
      <c r="P848" s="4" t="n"/>
      <c r="Q848" s="6" t="n">
        <v>0</v>
      </c>
      <c r="R848" s="6" t="n">
        <v>0</v>
      </c>
    </row>
    <row r="849">
      <c r="A849" s="4" t="inlineStr">
        <is>
          <t>26-PC-43899</t>
        </is>
      </c>
      <c r="B849" s="4" t="inlineStr">
        <is>
          <t>On-Call: Foxglove Reservoir Cultural Resources Monitoring</t>
        </is>
      </c>
      <c r="C849" s="4" t="inlineStr">
        <is>
          <t>In Progress</t>
        </is>
      </c>
      <c r="D849" s="4" t="inlineStr">
        <is>
          <t>Time and material</t>
        </is>
      </c>
      <c r="E849" s="4" t="inlineStr">
        <is>
          <t>NH Gulf (USD)</t>
        </is>
      </c>
      <c r="F849" s="4" t="inlineStr">
        <is>
          <t>Justin Mejia</t>
        </is>
      </c>
      <c r="G849" s="5" t="n">
        <v>154600</v>
      </c>
      <c r="H849" s="5" t="n">
        <v>17698</v>
      </c>
      <c r="I849" s="5" t="n">
        <v>9002.139999999999</v>
      </c>
      <c r="J849" s="5" t="n">
        <v>103767.52</v>
      </c>
      <c r="K849" s="5" t="n">
        <v>103767.52</v>
      </c>
      <c r="L849" s="5" t="n">
        <v>0</v>
      </c>
      <c r="M849" s="5" t="n">
        <v>12573.63</v>
      </c>
      <c r="N849" s="5" t="n">
        <v>91193.89</v>
      </c>
      <c r="O849" s="5" t="n">
        <v>91193.89</v>
      </c>
      <c r="P849" s="4" t="n"/>
      <c r="Q849" s="6" t="n">
        <v>0.114</v>
      </c>
      <c r="R849" s="6" t="n">
        <v>0.1212</v>
      </c>
    </row>
    <row r="850">
      <c r="A850" s="4" t="inlineStr">
        <is>
          <t>26-PC-43915</t>
        </is>
      </c>
      <c r="B850" s="4" t="inlineStr">
        <is>
          <t>Task Order 5: Twin Buttes Bridge Replacement Phase I Survey</t>
        </is>
      </c>
      <c r="C850" s="4" t="inlineStr">
        <is>
          <t>Transferred Entity</t>
        </is>
      </c>
      <c r="D850" s="4" t="inlineStr">
        <is>
          <t>Fixed fee</t>
        </is>
      </c>
      <c r="E850" s="4" t="inlineStr">
        <is>
          <t>NH Gulf (USD)</t>
        </is>
      </c>
      <c r="F850" s="4" t="inlineStr">
        <is>
          <t>Javier Rangel</t>
        </is>
      </c>
      <c r="G850" s="5" t="n">
        <v>202200</v>
      </c>
      <c r="H850" s="5" t="n">
        <v>1233.421333333333</v>
      </c>
      <c r="I850" s="5" t="n">
        <v>311.5893333333333</v>
      </c>
      <c r="J850" s="5" t="n">
        <v>177936</v>
      </c>
      <c r="K850" s="5" t="n">
        <v>177936</v>
      </c>
      <c r="L850" s="5" t="n">
        <v>0</v>
      </c>
      <c r="M850" s="5" t="n">
        <v>1086.477333333333</v>
      </c>
      <c r="N850" s="5" t="n">
        <v>176849.5226666667</v>
      </c>
      <c r="O850" s="5" t="n">
        <v>176849.5226666667</v>
      </c>
      <c r="P850" s="4" t="n"/>
      <c r="Q850" s="6" t="n">
        <v>0.006100006594131222</v>
      </c>
      <c r="R850" s="6" t="n">
        <v>0.006106000659413122</v>
      </c>
    </row>
    <row r="851">
      <c r="A851" s="4" t="inlineStr">
        <is>
          <t>26-PC-43927</t>
        </is>
      </c>
      <c r="B851" s="4" t="inlineStr">
        <is>
          <t>On-Call: Millbrook Cell Tower Architectural History Survey</t>
        </is>
      </c>
      <c r="C851" s="4" t="inlineStr">
        <is>
          <t>Transferred Entity</t>
        </is>
      </c>
      <c r="D851" s="4" t="inlineStr">
        <is>
          <t>Time and material</t>
        </is>
      </c>
      <c r="E851" s="4" t="inlineStr">
        <is>
          <t>NH Gulf (USD)</t>
        </is>
      </c>
      <c r="F851" s="4" t="inlineStr">
        <is>
          <t>Susan Wilkins</t>
        </is>
      </c>
      <c r="G851" s="5" t="n">
        <v>60000</v>
      </c>
      <c r="H851" s="5" t="n">
        <v>3540.250666666667</v>
      </c>
      <c r="I851" s="5" t="n">
        <v>1412.869333333333</v>
      </c>
      <c r="J851" s="5" t="n">
        <v>39334.64</v>
      </c>
      <c r="K851" s="5" t="n">
        <v>35895.35</v>
      </c>
      <c r="L851" s="5" t="n">
        <v>3439.29</v>
      </c>
      <c r="M851" s="5" t="n">
        <v>2279.19</v>
      </c>
      <c r="N851" s="5" t="n">
        <v>37055.45</v>
      </c>
      <c r="O851" s="5" t="n">
        <v>33616.16</v>
      </c>
      <c r="P851" s="4" t="n"/>
      <c r="Q851" s="6" t="n">
        <v>0.05900417777777778</v>
      </c>
      <c r="R851" s="6" t="n">
        <v>0.05794358356908821</v>
      </c>
    </row>
    <row r="852">
      <c r="A852" s="4" t="inlineStr">
        <is>
          <t>26-PC-43961</t>
        </is>
      </c>
      <c r="B852" s="4" t="inlineStr">
        <is>
          <t>On-Call: Sparrow Hill Fiber Route Architectural History Survey</t>
        </is>
      </c>
      <c r="C852" s="4" t="inlineStr">
        <is>
          <t>Transferred Entity</t>
        </is>
      </c>
      <c r="D852" s="4" t="inlineStr">
        <is>
          <t>Fixed fee</t>
        </is>
      </c>
      <c r="E852" s="4" t="inlineStr">
        <is>
          <t>NH Gulf (USD)</t>
        </is>
      </c>
      <c r="F852" s="4" t="inlineStr">
        <is>
          <t>Vanessa Duarte</t>
        </is>
      </c>
      <c r="G852" s="5" t="n">
        <v>264600</v>
      </c>
      <c r="H852" s="5" t="n">
        <v>118778.9413333333</v>
      </c>
      <c r="I852" s="5" t="n">
        <v>98585.18933333334</v>
      </c>
      <c r="J852" s="5" t="n">
        <v>211627.08</v>
      </c>
      <c r="K852" s="5" t="n">
        <v>211627.08</v>
      </c>
      <c r="L852" s="5" t="n">
        <v>0</v>
      </c>
      <c r="M852" s="5" t="n">
        <v>94998.52600000001</v>
      </c>
      <c r="N852" s="5" t="n">
        <v>116628.554</v>
      </c>
      <c r="O852" s="5" t="n">
        <v>116628.554</v>
      </c>
      <c r="P852" s="4" t="n"/>
      <c r="Q852" s="6" t="n">
        <v>0.4489000050390526</v>
      </c>
      <c r="R852" s="6" t="n">
        <v>0.4488958879931624</v>
      </c>
    </row>
    <row r="853">
      <c r="A853" s="4" t="inlineStr">
        <is>
          <t>26-PC-43963</t>
        </is>
      </c>
      <c r="B853" s="4" t="inlineStr">
        <is>
          <t>On-Call: Foxglove Trail Data Recovery</t>
        </is>
      </c>
      <c r="C853" s="4" t="inlineStr">
        <is>
          <t>In Progress</t>
        </is>
      </c>
      <c r="D853" s="4" t="inlineStr">
        <is>
          <t>Fixed fee</t>
        </is>
      </c>
      <c r="E853" s="4" t="inlineStr">
        <is>
          <t>NH Gulf (USD)</t>
        </is>
      </c>
      <c r="F853" s="4" t="inlineStr">
        <is>
          <t>Javier Rangel</t>
        </is>
      </c>
      <c r="G853" s="5" t="n">
        <v>532600</v>
      </c>
      <c r="H853" s="5" t="n">
        <v>133842.38</v>
      </c>
      <c r="I853" s="5" t="n">
        <v>117842.42</v>
      </c>
      <c r="J853" s="5" t="n">
        <v>335058.66</v>
      </c>
      <c r="K853" s="5" t="n">
        <v>335058.66</v>
      </c>
      <c r="L853" s="5" t="n">
        <v>0</v>
      </c>
      <c r="M853" s="5" t="n">
        <v>84187.73</v>
      </c>
      <c r="N853" s="5" t="n">
        <v>250870.93</v>
      </c>
      <c r="O853" s="5" t="n">
        <v>250870.93</v>
      </c>
      <c r="P853" s="4" t="n"/>
      <c r="Q853" s="6" t="n">
        <v>0.251</v>
      </c>
      <c r="R853" s="6" t="n">
        <v>0.2513</v>
      </c>
    </row>
    <row r="854">
      <c r="A854" s="4" t="inlineStr">
        <is>
          <t>26-PC-43979</t>
        </is>
      </c>
      <c r="B854" s="4" t="inlineStr">
        <is>
          <t>Pine Hollow Harbor Dredging - Historic Resources Evaluation</t>
        </is>
      </c>
      <c r="C854" s="4" t="inlineStr">
        <is>
          <t>Transferred Entity</t>
        </is>
      </c>
      <c r="D854" s="4" t="inlineStr">
        <is>
          <t>Fixed fee</t>
        </is>
      </c>
      <c r="E854" s="4" t="inlineStr">
        <is>
          <t>NH Gulf (USD)</t>
        </is>
      </c>
      <c r="F854" s="4" t="inlineStr">
        <is>
          <t>Justin Mejia</t>
        </is>
      </c>
      <c r="G854" s="5" t="n">
        <v>98500</v>
      </c>
      <c r="H854" s="5" t="n">
        <v>0</v>
      </c>
      <c r="I854" s="5" t="n">
        <v>0</v>
      </c>
      <c r="J854" s="5" t="n">
        <v>72742.25</v>
      </c>
      <c r="K854" s="5" t="n">
        <v>72742.25</v>
      </c>
      <c r="L854" s="5" t="n">
        <v>0</v>
      </c>
      <c r="M854" s="5" t="n">
        <v>0</v>
      </c>
      <c r="N854" s="5" t="n">
        <v>72742.25</v>
      </c>
      <c r="O854" s="5" t="n">
        <v>72742.25</v>
      </c>
      <c r="P854" s="4" t="n"/>
      <c r="Q854" s="6" t="n">
        <v>0</v>
      </c>
      <c r="R854" s="6" t="n">
        <v>0</v>
      </c>
    </row>
    <row r="855">
      <c r="A855" s="4" t="inlineStr">
        <is>
          <t>26-PC-43986</t>
        </is>
      </c>
      <c r="B855" s="4" t="inlineStr">
        <is>
          <t>Sage Flat Airport Apron Architectural History Survey</t>
        </is>
      </c>
      <c r="C855" s="4" t="inlineStr">
        <is>
          <t>Transferred Entity</t>
        </is>
      </c>
      <c r="D855" s="4" t="inlineStr">
        <is>
          <t>Time and material</t>
        </is>
      </c>
      <c r="E855" s="4" t="inlineStr">
        <is>
          <t>NH Gulf (USD)</t>
        </is>
      </c>
      <c r="F855" s="4" t="inlineStr">
        <is>
          <t>Justin Mejia</t>
        </is>
      </c>
      <c r="G855" s="5" t="n">
        <v>220800</v>
      </c>
      <c r="H855" s="5" t="n">
        <v>218771.2506666667</v>
      </c>
      <c r="I855" s="5" t="n">
        <v>195354</v>
      </c>
      <c r="J855" s="5" t="n">
        <v>146699.52</v>
      </c>
      <c r="K855" s="5" t="n">
        <v>146699.52</v>
      </c>
      <c r="L855" s="5" t="n">
        <v>0</v>
      </c>
      <c r="M855" s="5" t="n">
        <v>136849.0806666667</v>
      </c>
      <c r="N855" s="5" t="n">
        <v>9850.439333333314</v>
      </c>
      <c r="O855" s="5" t="n">
        <v>9850.439333333314</v>
      </c>
      <c r="P855" s="4" t="n"/>
      <c r="Q855" s="6" t="n">
        <v>0.9908118236714976</v>
      </c>
      <c r="R855" s="6" t="n">
        <v>0.9328529545745391</v>
      </c>
    </row>
    <row r="856">
      <c r="A856" s="4" t="inlineStr">
        <is>
          <t>26-PC-43991</t>
        </is>
      </c>
      <c r="B856" s="4" t="inlineStr">
        <is>
          <t>Saltgrass Water Main - Archaeological Testing</t>
        </is>
      </c>
      <c r="C856" s="4" t="inlineStr">
        <is>
          <t>In Progress</t>
        </is>
      </c>
      <c r="D856" s="4" t="inlineStr">
        <is>
          <t>Fixed fee</t>
        </is>
      </c>
      <c r="E856" s="4" t="inlineStr">
        <is>
          <t>NH Gulf (USD)</t>
        </is>
      </c>
      <c r="F856" s="4" t="inlineStr">
        <is>
          <t>Tonya Spence</t>
        </is>
      </c>
      <c r="G856" s="5" t="n">
        <v>22500</v>
      </c>
      <c r="H856" s="5" t="n">
        <v>13819.5</v>
      </c>
      <c r="I856" s="5" t="n">
        <v>10534.3</v>
      </c>
      <c r="J856" s="5" t="n">
        <v>13335.87</v>
      </c>
      <c r="K856" s="5" t="n">
        <v>10433.28</v>
      </c>
      <c r="L856" s="5" t="n">
        <v>2902.59</v>
      </c>
      <c r="M856" s="5" t="n">
        <v>8191.4</v>
      </c>
      <c r="N856" s="5" t="n">
        <v>5144.470000000001</v>
      </c>
      <c r="O856" s="5" t="n">
        <v>2241.880000000001</v>
      </c>
      <c r="P856" s="4" t="n"/>
      <c r="Q856" s="6" t="n">
        <v>0.614</v>
      </c>
      <c r="R856" s="6" t="n">
        <v>0.6142</v>
      </c>
    </row>
    <row r="857">
      <c r="A857" s="4" t="inlineStr">
        <is>
          <t>26-PC-44007</t>
        </is>
      </c>
      <c r="B857" s="4" t="inlineStr">
        <is>
          <t>Goldfinch Battery Storage Architectural History Survey</t>
        </is>
      </c>
      <c r="C857" s="4" t="inlineStr">
        <is>
          <t>Transferred Entity</t>
        </is>
      </c>
      <c r="D857" s="4" t="inlineStr">
        <is>
          <t>Time and material</t>
        </is>
      </c>
      <c r="E857" s="4" t="inlineStr">
        <is>
          <t>NH Gulf (USD)</t>
        </is>
      </c>
      <c r="F857" s="4" t="inlineStr">
        <is>
          <t>Randy Cantu</t>
        </is>
      </c>
      <c r="G857" s="5" t="n">
        <v>226900</v>
      </c>
      <c r="H857" s="5" t="n">
        <v>14790</v>
      </c>
      <c r="I857" s="5" t="n">
        <v>14790</v>
      </c>
      <c r="J857" s="5" t="n">
        <v>149799.38</v>
      </c>
      <c r="K857" s="5" t="n">
        <v>149799.38</v>
      </c>
      <c r="L857" s="5" t="n">
        <v>0</v>
      </c>
      <c r="M857" s="5" t="n">
        <v>8751.52</v>
      </c>
      <c r="N857" s="5" t="n">
        <v>141047.86</v>
      </c>
      <c r="O857" s="5" t="n">
        <v>141047.86</v>
      </c>
      <c r="P857" s="4" t="n"/>
      <c r="Q857" s="6" t="n">
        <v>0.06518289995592773</v>
      </c>
      <c r="R857" s="6" t="n">
        <v>0.05842160361411376</v>
      </c>
    </row>
    <row r="858">
      <c r="A858" s="4" t="inlineStr">
        <is>
          <t>26-PC-44050</t>
        </is>
      </c>
      <c r="B858" s="4" t="inlineStr">
        <is>
          <t>On-Call: Hawk Point Canal Lining Archaeological Testing</t>
        </is>
      </c>
      <c r="C858" s="4" t="inlineStr">
        <is>
          <t>Transferred Entity</t>
        </is>
      </c>
      <c r="D858" s="4" t="inlineStr">
        <is>
          <t>Fixed fee</t>
        </is>
      </c>
      <c r="E858" s="4" t="inlineStr">
        <is>
          <t>NH Gulf (USD)</t>
        </is>
      </c>
      <c r="F858" s="4" t="inlineStr">
        <is>
          <t>Vanessa Duarte</t>
        </is>
      </c>
      <c r="G858" s="5" t="n">
        <v>670400</v>
      </c>
      <c r="H858" s="5" t="n">
        <v>37341.28</v>
      </c>
      <c r="I858" s="5" t="n">
        <v>21973.44</v>
      </c>
      <c r="J858" s="5" t="n">
        <v>477190.72</v>
      </c>
      <c r="K858" s="5" t="n">
        <v>477190.72</v>
      </c>
      <c r="L858" s="5" t="n">
        <v>0</v>
      </c>
      <c r="M858" s="5" t="n">
        <v>26569.32133333333</v>
      </c>
      <c r="N858" s="5" t="n">
        <v>450621.3986666666</v>
      </c>
      <c r="O858" s="5" t="n">
        <v>450621.3986666666</v>
      </c>
      <c r="P858" s="4" t="n"/>
      <c r="Q858" s="6" t="n">
        <v>0.0557</v>
      </c>
      <c r="R858" s="6" t="n">
        <v>0.05567862118805104</v>
      </c>
    </row>
    <row r="859">
      <c r="A859" s="4" t="inlineStr">
        <is>
          <t>26-PC-44072</t>
        </is>
      </c>
      <c r="B859" s="4" t="inlineStr">
        <is>
          <t>Oak Terrace Water Main GIS Mapping</t>
        </is>
      </c>
      <c r="C859" s="4" t="inlineStr">
        <is>
          <t>Transferred Entity</t>
        </is>
      </c>
      <c r="D859" s="4" t="inlineStr">
        <is>
          <t>Fixed fee</t>
        </is>
      </c>
      <c r="E859" s="4" t="inlineStr">
        <is>
          <t>NH Gulf (USD)</t>
        </is>
      </c>
      <c r="F859" s="4" t="inlineStr">
        <is>
          <t>Susan Wilkins</t>
        </is>
      </c>
      <c r="G859" s="5" t="n">
        <v>106200</v>
      </c>
      <c r="H859" s="5" t="n">
        <v>55447.02133333333</v>
      </c>
      <c r="I859" s="5" t="n">
        <v>48383.90133333334</v>
      </c>
      <c r="J859" s="5" t="n">
        <v>79469.46000000001</v>
      </c>
      <c r="K859" s="5" t="n">
        <v>79469.46000000001</v>
      </c>
      <c r="L859" s="5" t="n">
        <v>0</v>
      </c>
      <c r="M859" s="5" t="n">
        <v>41489.462</v>
      </c>
      <c r="N859" s="5" t="n">
        <v>37979.99800000001</v>
      </c>
      <c r="O859" s="5" t="n">
        <v>37979.99800000001</v>
      </c>
      <c r="P859" s="4" t="n"/>
      <c r="Q859" s="6" t="n">
        <v>0.5221000125549278</v>
      </c>
      <c r="R859" s="6" t="n">
        <v>0.5220805829056847</v>
      </c>
    </row>
    <row r="860">
      <c r="A860" s="4" t="inlineStr">
        <is>
          <t>26-PC-44090</t>
        </is>
      </c>
      <c r="B860" s="4" t="inlineStr">
        <is>
          <t>Eagle Bend Phase I Survey</t>
        </is>
      </c>
      <c r="C860" s="4" t="inlineStr">
        <is>
          <t>Transferred Entity</t>
        </is>
      </c>
      <c r="D860" s="4" t="inlineStr">
        <is>
          <t>Time and material</t>
        </is>
      </c>
      <c r="E860" s="4" t="inlineStr">
        <is>
          <t>NH Gulf (USD)</t>
        </is>
      </c>
      <c r="F860" s="4" t="inlineStr">
        <is>
          <t>Tonya Spence</t>
        </is>
      </c>
      <c r="G860" s="5" t="n">
        <v>6300</v>
      </c>
      <c r="H860" s="5" t="n">
        <v>1040.749333333333</v>
      </c>
      <c r="I860" s="5" t="n">
        <v>227.2986666666667</v>
      </c>
      <c r="J860" s="5" t="n">
        <v>4404.16</v>
      </c>
      <c r="K860" s="5" t="n">
        <v>3266.03</v>
      </c>
      <c r="L860" s="5" t="n">
        <v>1138.13</v>
      </c>
      <c r="M860" s="5" t="n">
        <v>565.6799999999999</v>
      </c>
      <c r="N860" s="5" t="n">
        <v>3838.48</v>
      </c>
      <c r="O860" s="5" t="n">
        <v>2700.35</v>
      </c>
      <c r="P860" s="4" t="n"/>
      <c r="Q860" s="6" t="n">
        <v>0.1651983068783069</v>
      </c>
      <c r="R860" s="6" t="n">
        <v>0.128442200101722</v>
      </c>
    </row>
    <row r="861">
      <c r="A861" s="4" t="inlineStr">
        <is>
          <t>26-PC-44129</t>
        </is>
      </c>
      <c r="B861" s="4" t="inlineStr">
        <is>
          <t>Tamarack Airport Apron - Section 106 Consultation</t>
        </is>
      </c>
      <c r="C861" s="4" t="inlineStr">
        <is>
          <t>In Progress</t>
        </is>
      </c>
      <c r="D861" s="4" t="inlineStr">
        <is>
          <t>Fixed fee</t>
        </is>
      </c>
      <c r="E861" s="4" t="inlineStr">
        <is>
          <t>NH Gulf (USD)</t>
        </is>
      </c>
      <c r="F861" s="4" t="inlineStr">
        <is>
          <t>Javier Rangel</t>
        </is>
      </c>
      <c r="G861" s="5" t="n">
        <v>40400</v>
      </c>
      <c r="H861" s="5" t="n">
        <v>0</v>
      </c>
      <c r="I861" s="5" t="n">
        <v>0</v>
      </c>
      <c r="J861" s="5" t="n">
        <v>30324.24</v>
      </c>
      <c r="K861" s="5" t="n">
        <v>30324.24</v>
      </c>
      <c r="L861" s="5" t="n">
        <v>0</v>
      </c>
      <c r="M861" s="5" t="n">
        <v>0</v>
      </c>
      <c r="N861" s="5" t="n">
        <v>30324.24</v>
      </c>
      <c r="O861" s="5" t="n">
        <v>30324.24</v>
      </c>
      <c r="P861" s="4" t="n"/>
      <c r="Q861" s="6" t="n">
        <v>0</v>
      </c>
      <c r="R861" s="6" t="n">
        <v>0</v>
      </c>
    </row>
    <row r="862">
      <c r="A862" s="4" t="inlineStr">
        <is>
          <t>26-PC-44173</t>
        </is>
      </c>
      <c r="B862" s="4" t="inlineStr">
        <is>
          <t>Timber Gap Harbor Dredging - Section 106 Consultation</t>
        </is>
      </c>
      <c r="C862" s="4" t="inlineStr">
        <is>
          <t>Transferred Entity</t>
        </is>
      </c>
      <c r="D862" s="4" t="inlineStr">
        <is>
          <t>Fixed fee</t>
        </is>
      </c>
      <c r="E862" s="4" t="inlineStr">
        <is>
          <t>NH Gulf (USD)</t>
        </is>
      </c>
      <c r="F862" s="4" t="inlineStr">
        <is>
          <t>Susan Wilkins</t>
        </is>
      </c>
      <c r="G862" s="5" t="n">
        <v>160600</v>
      </c>
      <c r="H862" s="5" t="n">
        <v>29197.08</v>
      </c>
      <c r="I862" s="5" t="n">
        <v>21934.33066666667</v>
      </c>
      <c r="J862" s="5" t="n">
        <v>111038.84</v>
      </c>
      <c r="K862" s="5" t="n">
        <v>111038.84</v>
      </c>
      <c r="L862" s="5" t="n">
        <v>0</v>
      </c>
      <c r="M862" s="5" t="n">
        <v>20184.098</v>
      </c>
      <c r="N862" s="5" t="n">
        <v>90854.742</v>
      </c>
      <c r="O862" s="5" t="n">
        <v>90854.742</v>
      </c>
      <c r="P862" s="4" t="n"/>
      <c r="Q862" s="6" t="n">
        <v>0.1818</v>
      </c>
      <c r="R862" s="6" t="n">
        <v>0.181775115806325</v>
      </c>
    </row>
    <row r="863">
      <c r="A863" s="4" t="inlineStr">
        <is>
          <t>26-PC-44201</t>
        </is>
      </c>
      <c r="B863" s="4" t="inlineStr">
        <is>
          <t>Plover Cove Section 106 Consultation</t>
        </is>
      </c>
      <c r="C863" s="4" t="inlineStr">
        <is>
          <t>Transferred Entity</t>
        </is>
      </c>
      <c r="D863" s="4" t="inlineStr">
        <is>
          <t>Time and material</t>
        </is>
      </c>
      <c r="E863" s="4" t="inlineStr">
        <is>
          <t>NH Gulf (USD)</t>
        </is>
      </c>
      <c r="F863" s="4" t="inlineStr">
        <is>
          <t>Javier Rangel</t>
        </is>
      </c>
      <c r="G863" s="5" t="n">
        <v>165400</v>
      </c>
      <c r="H863" s="5" t="n">
        <v>67195</v>
      </c>
      <c r="I863" s="5" t="n">
        <v>60276.14933333333</v>
      </c>
      <c r="J863" s="5" t="n">
        <v>115267.26</v>
      </c>
      <c r="K863" s="5" t="n">
        <v>115267.26</v>
      </c>
      <c r="L863" s="5" t="n">
        <v>0</v>
      </c>
      <c r="M863" s="5" t="n">
        <v>39551.84666666666</v>
      </c>
      <c r="N863" s="5" t="n">
        <v>75715.41333333333</v>
      </c>
      <c r="O863" s="5" t="n">
        <v>75715.41333333333</v>
      </c>
      <c r="P863" s="4" t="n"/>
      <c r="Q863" s="6" t="n">
        <v>0.4062575574365175</v>
      </c>
      <c r="R863" s="6" t="n">
        <v>0.3431316634633865</v>
      </c>
    </row>
    <row r="864">
      <c r="A864" s="4" t="inlineStr">
        <is>
          <t>26-PC-44220</t>
        </is>
      </c>
      <c r="B864" s="4" t="inlineStr">
        <is>
          <t>Dove Canyon GIS Mapping</t>
        </is>
      </c>
      <c r="C864" s="4" t="inlineStr">
        <is>
          <t>Transferred Entity</t>
        </is>
      </c>
      <c r="D864" s="4" t="inlineStr">
        <is>
          <t>Time and material</t>
        </is>
      </c>
      <c r="E864" s="4" t="inlineStr">
        <is>
          <t>NH Gulf (USD)</t>
        </is>
      </c>
      <c r="F864" s="4" t="inlineStr">
        <is>
          <t>Justin Mejia</t>
        </is>
      </c>
      <c r="G864" s="5" t="n">
        <v>59700</v>
      </c>
      <c r="H864" s="5" t="n">
        <v>7761.498666666666</v>
      </c>
      <c r="I864" s="5" t="n">
        <v>5425.72</v>
      </c>
      <c r="J864" s="5" t="n">
        <v>47634.63</v>
      </c>
      <c r="K864" s="5" t="n">
        <v>47634.63</v>
      </c>
      <c r="L864" s="5" t="n">
        <v>0</v>
      </c>
      <c r="M864" s="5" t="n">
        <v>4924.66</v>
      </c>
      <c r="N864" s="5" t="n">
        <v>42709.97</v>
      </c>
      <c r="O864" s="5" t="n">
        <v>42709.97</v>
      </c>
      <c r="P864" s="4" t="n"/>
      <c r="Q864" s="6" t="n">
        <v>0.1300083528754885</v>
      </c>
      <c r="R864" s="6" t="n">
        <v>0.1033840296439796</v>
      </c>
    </row>
    <row r="865">
      <c r="A865" s="4" t="inlineStr">
        <is>
          <t>26-PC-44256</t>
        </is>
      </c>
      <c r="B865" s="4" t="inlineStr">
        <is>
          <t>On-Call: Twin Buttes Rail Siding Environmental Review Support</t>
        </is>
      </c>
      <c r="C865" s="4" t="inlineStr">
        <is>
          <t>Transferred Entity</t>
        </is>
      </c>
      <c r="D865" s="4" t="inlineStr">
        <is>
          <t>Fixed fee</t>
        </is>
      </c>
      <c r="E865" s="4" t="inlineStr">
        <is>
          <t>NH Gulf (USD)</t>
        </is>
      </c>
      <c r="F865" s="4" t="inlineStr">
        <is>
          <t>Susan Wilkins</t>
        </is>
      </c>
      <c r="G865" s="5" t="n">
        <v>810700</v>
      </c>
      <c r="H865" s="5" t="n">
        <v>321442.5493333333</v>
      </c>
      <c r="I865" s="5" t="n">
        <v>283600.6986666667</v>
      </c>
      <c r="J865" s="5" t="n">
        <v>574867.37</v>
      </c>
      <c r="K865" s="5" t="n">
        <v>574867.37</v>
      </c>
      <c r="L865" s="5" t="n">
        <v>0</v>
      </c>
      <c r="M865" s="5" t="n">
        <v>227909.552</v>
      </c>
      <c r="N865" s="5" t="n">
        <v>346957.818</v>
      </c>
      <c r="O865" s="5" t="n">
        <v>346957.818</v>
      </c>
      <c r="P865" s="4" t="n"/>
      <c r="Q865" s="6" t="n">
        <v>0.3964999991776654</v>
      </c>
      <c r="R865" s="6" t="n">
        <v>0.3964558851200756</v>
      </c>
    </row>
    <row r="866">
      <c r="A866" s="4" t="inlineStr">
        <is>
          <t>26-PC-44277</t>
        </is>
      </c>
      <c r="B866" s="4" t="inlineStr">
        <is>
          <t>Phase I: Sea Oat Harbor Dredging Architectural History Survey</t>
        </is>
      </c>
      <c r="C866" s="4" t="inlineStr">
        <is>
          <t>In Progress</t>
        </is>
      </c>
      <c r="D866" s="4" t="inlineStr">
        <is>
          <t>Fixed fee</t>
        </is>
      </c>
      <c r="E866" s="4" t="inlineStr">
        <is>
          <t>NH Gulf (USD)</t>
        </is>
      </c>
      <c r="F866" s="4" t="inlineStr">
        <is>
          <t>Tonya Spence</t>
        </is>
      </c>
      <c r="G866" s="5" t="n">
        <v>49100</v>
      </c>
      <c r="H866" s="5" t="n">
        <v>28482.91</v>
      </c>
      <c r="I866" s="5" t="n">
        <v>25401.55</v>
      </c>
      <c r="J866" s="5" t="n">
        <v>39677.71</v>
      </c>
      <c r="K866" s="5" t="n">
        <v>39677.71</v>
      </c>
      <c r="L866" s="5" t="n">
        <v>0</v>
      </c>
      <c r="M866" s="5" t="n">
        <v>23018.4</v>
      </c>
      <c r="N866" s="5" t="n">
        <v>16659.31</v>
      </c>
      <c r="O866" s="5" t="n">
        <v>16659.31</v>
      </c>
      <c r="P866" s="4" t="n"/>
      <c r="Q866" s="6" t="n">
        <v>0.58</v>
      </c>
      <c r="R866" s="6" t="n">
        <v>0.5800999999999999</v>
      </c>
    </row>
    <row r="867">
      <c r="A867" s="4" t="inlineStr">
        <is>
          <t>26-PC-44290</t>
        </is>
      </c>
      <c r="B867" s="4" t="inlineStr">
        <is>
          <t>On-Call: Larkspur Park Improvements GIS Mapping</t>
        </is>
      </c>
      <c r="C867" s="4" t="inlineStr">
        <is>
          <t>Transferred Entity</t>
        </is>
      </c>
      <c r="D867" s="4" t="inlineStr">
        <is>
          <t>Fixed fee</t>
        </is>
      </c>
      <c r="E867" s="4" t="inlineStr">
        <is>
          <t>NH Gulf (USD)</t>
        </is>
      </c>
      <c r="F867" s="4" t="inlineStr">
        <is>
          <t>Justin Mejia</t>
        </is>
      </c>
      <c r="G867" s="5" t="n">
        <v>206100</v>
      </c>
      <c r="H867" s="5" t="n">
        <v>43651.97866666667</v>
      </c>
      <c r="I867" s="5" t="n">
        <v>38613.69066666667</v>
      </c>
      <c r="J867" s="5" t="n">
        <v>160077.87</v>
      </c>
      <c r="K867" s="5" t="n">
        <v>160077.87</v>
      </c>
      <c r="L867" s="5" t="n">
        <v>0</v>
      </c>
      <c r="M867" s="5" t="n">
        <v>33903.52466666666</v>
      </c>
      <c r="N867" s="5" t="n">
        <v>126174.3453333333</v>
      </c>
      <c r="O867" s="5" t="n">
        <v>126174.3453333333</v>
      </c>
      <c r="P867" s="4" t="n"/>
      <c r="Q867" s="6" t="n">
        <v>0.2117999935306486</v>
      </c>
      <c r="R867" s="6" t="n">
        <v>0.2117939516977997</v>
      </c>
    </row>
    <row r="868">
      <c r="A868" s="4" t="inlineStr">
        <is>
          <t>26-PC-44302</t>
        </is>
      </c>
      <c r="B868" s="4" t="inlineStr">
        <is>
          <t>Dove Canyon Cell Tower - Built Environment Survey</t>
        </is>
      </c>
      <c r="C868" s="4" t="inlineStr">
        <is>
          <t>Transferred Entity</t>
        </is>
      </c>
      <c r="D868" s="4" t="inlineStr">
        <is>
          <t>Fixed fee</t>
        </is>
      </c>
      <c r="E868" s="4" t="inlineStr">
        <is>
          <t>NH Gulf (USD)</t>
        </is>
      </c>
      <c r="F868" s="4" t="inlineStr">
        <is>
          <t>Vanessa Duarte</t>
        </is>
      </c>
      <c r="G868" s="5" t="n">
        <v>90200</v>
      </c>
      <c r="H868" s="5" t="n">
        <v>40102.92000000001</v>
      </c>
      <c r="I868" s="5" t="n">
        <v>28689.26933333333</v>
      </c>
      <c r="J868" s="5" t="n">
        <v>67334.3</v>
      </c>
      <c r="K868" s="5" t="n">
        <v>67334.3</v>
      </c>
      <c r="L868" s="5" t="n">
        <v>0</v>
      </c>
      <c r="M868" s="5" t="n">
        <v>29937.61133333333</v>
      </c>
      <c r="N868" s="5" t="n">
        <v>37396.68866666667</v>
      </c>
      <c r="O868" s="5" t="n">
        <v>37396.68866666667</v>
      </c>
      <c r="P868" s="4" t="n"/>
      <c r="Q868" s="6" t="n">
        <v>0.4446000000000001</v>
      </c>
      <c r="R868" s="6" t="n">
        <v>0.4446116070610868</v>
      </c>
    </row>
    <row r="869">
      <c r="A869" s="4" t="inlineStr">
        <is>
          <t>25-PC-44140</t>
        </is>
      </c>
      <c r="B869" s="4" t="inlineStr">
        <is>
          <t>Stone Mill Archaeological Testing</t>
        </is>
      </c>
      <c r="C869" s="4" t="inlineStr">
        <is>
          <t>In Progress</t>
        </is>
      </c>
      <c r="D869" s="4" t="inlineStr">
        <is>
          <t>Fixed fee</t>
        </is>
      </c>
      <c r="E869" s="4" t="inlineStr">
        <is>
          <t>NH Gulf</t>
        </is>
      </c>
      <c r="F869" s="4" t="inlineStr">
        <is>
          <t>Tonya Spence</t>
        </is>
      </c>
      <c r="G869" s="5" t="n">
        <v>149900</v>
      </c>
      <c r="H869" s="5" t="n">
        <v>149510.2586666667</v>
      </c>
      <c r="I869" s="5" t="n">
        <v>130809.0506666667</v>
      </c>
      <c r="J869" s="5" t="n">
        <v>100298.0906666667</v>
      </c>
      <c r="K869" s="5" t="n">
        <v>100298.0906666667</v>
      </c>
      <c r="L869" s="5" t="n">
        <v>0</v>
      </c>
      <c r="M869" s="5" t="n">
        <v>100035.4533333333</v>
      </c>
      <c r="N869" s="5" t="n">
        <v>262.6373333333322</v>
      </c>
      <c r="O869" s="5" t="n">
        <v>262.6373333333322</v>
      </c>
      <c r="P869" s="4" t="n"/>
      <c r="Q869" s="6" t="n">
        <v>0.9973999911051812</v>
      </c>
      <c r="R869" s="6" t="n">
        <v>0.997381432372365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6" customWidth="1" min="3" max="3"/>
    <col width="17" customWidth="1" min="4" max="4"/>
    <col width="22" customWidth="1" min="5" max="5"/>
    <col width="14" customWidth="1" min="6" max="6"/>
    <col width="16" customWidth="1" min="7" max="7"/>
    <col width="14" customWidth="1" min="8" max="8"/>
    <col width="12" customWidth="1" min="9" max="9"/>
    <col width="16" customWidth="1" min="10" max="10"/>
    <col width="11" customWidth="1" min="11" max="11"/>
    <col width="14" customWidth="1" min="12" max="12"/>
    <col width="15" customWidth="1" min="13" max="13"/>
    <col width="13" customWidth="1" min="14" max="14"/>
    <col width="16" customWidth="1" min="15" max="15"/>
    <col width="16" customWidth="1" min="16" max="16"/>
  </cols>
  <sheetData>
    <row r="1">
      <c r="D1" s="1" t="inlineStr">
        <is>
          <t>Summary:</t>
        </is>
      </c>
    </row>
    <row r="2">
      <c r="D2" s="7" t="inlineStr">
        <is>
          <t>Removed projects with ETC&gt;1% budget remaining</t>
        </is>
      </c>
    </row>
    <row r="3">
      <c r="D3" s="7" t="inlineStr">
        <is>
          <t>Removed $0 Contract Value projects</t>
        </is>
      </c>
    </row>
    <row r="4">
      <c r="D4" s="7" t="inlineStr">
        <is>
          <t>Removed previously identified ETC in final/reportingstatus</t>
        </is>
      </c>
    </row>
    <row r="5">
      <c r="D5" s="7" t="inlineStr">
        <is>
          <t>Removed projects in final reporting with &gt;10% budget remaining</t>
        </is>
      </c>
    </row>
    <row r="6">
      <c r="D6" s="8" t="inlineStr">
        <is>
          <t>Total: 273</t>
        </is>
      </c>
    </row>
    <row r="7"/>
    <row r="8">
      <c r="F8" s="2" t="inlineStr">
        <is>
          <t>Contract Value</t>
        </is>
      </c>
      <c r="G8" s="2" t="inlineStr">
        <is>
          <t>Total Revised Budget</t>
        </is>
      </c>
      <c r="H8" s="2" t="inlineStr">
        <is>
          <t>Original Budget</t>
        </is>
      </c>
      <c r="I8" s="2" t="inlineStr">
        <is>
          <t>ETC</t>
        </is>
      </c>
      <c r="J8" s="2" t="inlineStr">
        <is>
          <t>Revenue Recognized</t>
        </is>
      </c>
      <c r="K8" s="2" t="inlineStr">
        <is>
          <t>Rev Rec %</t>
        </is>
      </c>
      <c r="L8" s="2" t="inlineStr">
        <is>
          <t>Cost</t>
        </is>
      </c>
      <c r="M8" s="2" t="inlineStr">
        <is>
          <t>Budget Remaining</t>
        </is>
      </c>
      <c r="N8" s="2" t="inlineStr">
        <is>
          <t>Budget Spent %</t>
        </is>
      </c>
      <c r="O8" s="2" t="inlineStr">
        <is>
          <t>Project Gross Profit</t>
        </is>
      </c>
    </row>
    <row r="9">
      <c r="F9" s="2" t="inlineStr">
        <is>
          <t>September 29, 2026</t>
        </is>
      </c>
      <c r="G9" s="2" t="inlineStr">
        <is>
          <t>September 29, 2026</t>
        </is>
      </c>
      <c r="H9" s="2" t="inlineStr">
        <is>
          <t>September 29, 2026</t>
        </is>
      </c>
      <c r="I9" s="2" t="inlineStr">
        <is>
          <t>September 29, 2026</t>
        </is>
      </c>
      <c r="J9" s="2" t="inlineStr">
        <is>
          <t>September 29, 2026</t>
        </is>
      </c>
      <c r="K9" s="2" t="inlineStr">
        <is>
          <t>September 29, 2026</t>
        </is>
      </c>
      <c r="L9" s="2" t="inlineStr">
        <is>
          <t>September 29, 2026</t>
        </is>
      </c>
      <c r="M9" s="2" t="inlineStr">
        <is>
          <t>September 29, 2026</t>
        </is>
      </c>
      <c r="N9" s="2" t="inlineStr">
        <is>
          <t>September 29, 2026</t>
        </is>
      </c>
      <c r="O9" s="2" t="inlineStr">
        <is>
          <t>September 29, 2026</t>
        </is>
      </c>
    </row>
    <row r="10">
      <c r="A10" s="3" t="inlineStr">
        <is>
          <t>Project ID</t>
        </is>
      </c>
      <c r="B10" s="3" t="inlineStr">
        <is>
          <t>Project Name</t>
        </is>
      </c>
      <c r="C10" s="3" t="inlineStr">
        <is>
          <t>Project Billing type</t>
        </is>
      </c>
      <c r="D10" s="3" t="inlineStr">
        <is>
          <t>Project status</t>
        </is>
      </c>
      <c r="E10" s="3" t="inlineStr">
        <is>
          <t>Project Manager Name</t>
        </is>
      </c>
      <c r="F10" s="3" t="inlineStr">
        <is>
          <t>Actual</t>
        </is>
      </c>
      <c r="G10" s="3" t="inlineStr">
        <is>
          <t>Actual</t>
        </is>
      </c>
      <c r="H10" s="3" t="inlineStr">
        <is>
          <t>Actual</t>
        </is>
      </c>
      <c r="I10" s="3" t="inlineStr">
        <is>
          <t>Actual</t>
        </is>
      </c>
      <c r="J10" s="3" t="inlineStr">
        <is>
          <t>Actual</t>
        </is>
      </c>
      <c r="K10" s="3" t="inlineStr">
        <is>
          <t>Actual</t>
        </is>
      </c>
      <c r="L10" s="3" t="inlineStr">
        <is>
          <t>Actual</t>
        </is>
      </c>
      <c r="M10" s="3" t="inlineStr">
        <is>
          <t>Actual</t>
        </is>
      </c>
      <c r="N10" s="3" t="inlineStr">
        <is>
          <t>Actual</t>
        </is>
      </c>
      <c r="O10" s="3" t="inlineStr">
        <is>
          <t>Actual</t>
        </is>
      </c>
      <c r="P10" s="3" t="inlineStr">
        <is>
          <t>Location Name</t>
        </is>
      </c>
    </row>
    <row r="11">
      <c r="A11" s="4" t="inlineStr">
        <is>
          <t>23-PC-30869</t>
        </is>
      </c>
      <c r="B11" s="4" t="inlineStr">
        <is>
          <t>Lone Pine Housing Development - Paleontological Monitoring</t>
        </is>
      </c>
      <c r="C11" s="4" t="inlineStr">
        <is>
          <t>Time and material</t>
        </is>
      </c>
      <c r="D11" s="4" t="inlineStr">
        <is>
          <t>In Progress</t>
        </is>
      </c>
      <c r="E11" s="4" t="inlineStr">
        <is>
          <t>Kiara Gillespie</t>
        </is>
      </c>
      <c r="F11" s="5" t="n">
        <v>49800</v>
      </c>
      <c r="G11" s="5" t="n">
        <v>34501.44</v>
      </c>
      <c r="H11" s="5" t="n">
        <v>34501.44</v>
      </c>
      <c r="I11" s="5" t="n">
        <v>0</v>
      </c>
      <c r="J11" s="5" t="n">
        <v>33864</v>
      </c>
      <c r="K11" s="6" t="n">
        <v>0.68</v>
      </c>
      <c r="L11" s="5" t="n">
        <v>28656.36</v>
      </c>
      <c r="M11" s="5" t="n">
        <v>5845.080000000002</v>
      </c>
      <c r="N11" s="6">
        <f>IF(G11=0,0,L11/G11)</f>
        <v/>
      </c>
      <c r="O11" s="5">
        <f>J11-L11</f>
        <v/>
      </c>
      <c r="P11" s="4" t="inlineStr">
        <is>
          <t>Bluegrass</t>
        </is>
      </c>
    </row>
    <row r="12">
      <c r="A12" s="4" t="inlineStr">
        <is>
          <t>23-PC-30881</t>
        </is>
      </c>
      <c r="B12" s="4" t="inlineStr">
        <is>
          <t>Dove Canyon Mixed-Use Development Archaeological Testing</t>
        </is>
      </c>
      <c r="C12" s="4" t="inlineStr">
        <is>
          <t>Time and material</t>
        </is>
      </c>
      <c r="D12" s="4" t="inlineStr">
        <is>
          <t>Cost Tracking on Closed Project</t>
        </is>
      </c>
      <c r="E12" s="4" t="inlineStr">
        <is>
          <t>Alice Galloway</t>
        </is>
      </c>
      <c r="F12" s="5" t="n">
        <v>86200</v>
      </c>
      <c r="G12" s="5" t="n">
        <v>58650.48</v>
      </c>
      <c r="H12" s="5" t="n">
        <v>58650.48</v>
      </c>
      <c r="I12" s="5" t="n">
        <v>0</v>
      </c>
      <c r="J12" s="5" t="n">
        <v>58616</v>
      </c>
      <c r="K12" s="6" t="n">
        <v>0.68</v>
      </c>
      <c r="L12" s="5" t="n">
        <v>61318.15</v>
      </c>
      <c r="M12" s="5" t="n">
        <v>-2667.669999999998</v>
      </c>
      <c r="N12" s="6">
        <f>IF(G12=0,0,L12/G12)</f>
        <v/>
      </c>
      <c r="O12" s="5">
        <f>J12-L12</f>
        <v/>
      </c>
      <c r="P12" s="4" t="inlineStr">
        <is>
          <t>Bluegrass</t>
        </is>
      </c>
    </row>
    <row r="13">
      <c r="A13" s="4" t="inlineStr">
        <is>
          <t>23-PC-31003</t>
        </is>
      </c>
      <c r="B13" s="4" t="inlineStr">
        <is>
          <t>Windmill Flat Environmental Review Support</t>
        </is>
      </c>
      <c r="C13" s="4" t="inlineStr">
        <is>
          <t>Fixed fee</t>
        </is>
      </c>
      <c r="D13" s="4" t="inlineStr">
        <is>
          <t>In Progress</t>
        </is>
      </c>
      <c r="E13" s="4" t="inlineStr">
        <is>
          <t>Kiara Gillespie</t>
        </is>
      </c>
      <c r="F13" s="5" t="n">
        <v>19300</v>
      </c>
      <c r="G13" s="5" t="n">
        <v>10568.68</v>
      </c>
      <c r="H13" s="5" t="n">
        <v>10568.68</v>
      </c>
      <c r="I13" s="5" t="n">
        <v>0</v>
      </c>
      <c r="J13" s="5" t="n">
        <v>15445.79</v>
      </c>
      <c r="K13" s="6" t="n">
        <v>0.8</v>
      </c>
      <c r="L13" s="5" t="n">
        <v>8458.51</v>
      </c>
      <c r="M13" s="5" t="n">
        <v>2110.17</v>
      </c>
      <c r="N13" s="6">
        <f>IF(G13=0,0,L13/G13)</f>
        <v/>
      </c>
      <c r="O13" s="5">
        <f>J13-L13</f>
        <v/>
      </c>
      <c r="P13" s="4" t="inlineStr">
        <is>
          <t>Bluegrass</t>
        </is>
      </c>
    </row>
    <row r="14">
      <c r="A14" s="4" t="inlineStr">
        <is>
          <t>23-PC-31042</t>
        </is>
      </c>
      <c r="B14" s="4" t="inlineStr">
        <is>
          <t>Stone Mill Historic Resources Evaluation</t>
        </is>
      </c>
      <c r="C14" s="4" t="inlineStr">
        <is>
          <t>Time and material</t>
        </is>
      </c>
      <c r="D14" s="4" t="inlineStr">
        <is>
          <t>In Progress</t>
        </is>
      </c>
      <c r="E14" s="4" t="inlineStr">
        <is>
          <t>Donald Lutz</t>
        </is>
      </c>
      <c r="F14" s="5" t="n">
        <v>299700</v>
      </c>
      <c r="G14" s="5" t="n">
        <v>202896.9</v>
      </c>
      <c r="H14" s="5" t="n">
        <v>202896.9</v>
      </c>
      <c r="I14" s="5" t="n">
        <v>0</v>
      </c>
      <c r="J14" s="5" t="n">
        <v>203796</v>
      </c>
      <c r="K14" s="6" t="n">
        <v>0.68</v>
      </c>
      <c r="L14" s="5" t="n">
        <v>147919.88</v>
      </c>
      <c r="M14" s="5" t="n">
        <v>54977.01999999999</v>
      </c>
      <c r="N14" s="6">
        <f>IF(G14=0,0,L14/G14)</f>
        <v/>
      </c>
      <c r="O14" s="5">
        <f>J14-L14</f>
        <v/>
      </c>
      <c r="P14" s="4" t="inlineStr">
        <is>
          <t>Cascade</t>
        </is>
      </c>
    </row>
    <row r="15">
      <c r="A15" s="4" t="inlineStr">
        <is>
          <t>23-PC-31374</t>
        </is>
      </c>
      <c r="B15" s="4" t="inlineStr">
        <is>
          <t>Juniper Wash Canal Lining Environmental Review Support</t>
        </is>
      </c>
      <c r="C15" s="4" t="inlineStr">
        <is>
          <t>Time and material</t>
        </is>
      </c>
      <c r="D15" s="4" t="inlineStr">
        <is>
          <t>In Progress</t>
        </is>
      </c>
      <c r="E15" s="4" t="inlineStr">
        <is>
          <t>Donald Lutz</t>
        </is>
      </c>
      <c r="F15" s="5" t="n">
        <v>255700</v>
      </c>
      <c r="G15" s="5" t="n">
        <v>168225.03</v>
      </c>
      <c r="H15" s="5" t="n">
        <v>168225.03</v>
      </c>
      <c r="I15" s="5" t="n">
        <v>0</v>
      </c>
      <c r="J15" s="5" t="n">
        <v>173876</v>
      </c>
      <c r="K15" s="6" t="n">
        <v>0.68</v>
      </c>
      <c r="L15" s="5" t="n">
        <v>202903.45</v>
      </c>
      <c r="M15" s="5" t="n">
        <v>-34678.42000000001</v>
      </c>
      <c r="N15" s="6">
        <f>IF(G15=0,0,L15/G15)</f>
        <v/>
      </c>
      <c r="O15" s="5">
        <f>J15-L15</f>
        <v/>
      </c>
      <c r="P15" s="4" t="inlineStr">
        <is>
          <t>Cascade</t>
        </is>
      </c>
    </row>
    <row r="16">
      <c r="A16" s="4" t="inlineStr">
        <is>
          <t>23-PC-31405</t>
        </is>
      </c>
      <c r="B16" s="4" t="inlineStr">
        <is>
          <t>Phase II: Maple Fork Mixed-Use Development Built Environment Survey</t>
        </is>
      </c>
      <c r="C16" s="4" t="inlineStr">
        <is>
          <t>Fixed fee</t>
        </is>
      </c>
      <c r="D16" s="4" t="inlineStr">
        <is>
          <t>In Progress</t>
        </is>
      </c>
      <c r="E16" s="4" t="inlineStr">
        <is>
          <t>Jeff Spence</t>
        </is>
      </c>
      <c r="F16" s="5" t="n">
        <v>108000</v>
      </c>
      <c r="G16" s="5" t="n">
        <v>82404</v>
      </c>
      <c r="H16" s="5" t="n">
        <v>82404</v>
      </c>
      <c r="I16" s="5" t="n">
        <v>0</v>
      </c>
      <c r="J16" s="5" t="n">
        <v>76528.8</v>
      </c>
      <c r="K16" s="6" t="n">
        <v>0.709</v>
      </c>
      <c r="L16" s="5" t="n">
        <v>58391.35</v>
      </c>
      <c r="M16" s="5" t="n">
        <v>24012.65</v>
      </c>
      <c r="N16" s="6">
        <f>IF(G16=0,0,L16/G16)</f>
        <v/>
      </c>
      <c r="O16" s="5">
        <f>J16-L16</f>
        <v/>
      </c>
      <c r="P16" s="4" t="inlineStr">
        <is>
          <t>Cascade</t>
        </is>
      </c>
    </row>
    <row r="17">
      <c r="A17" s="4" t="inlineStr">
        <is>
          <t>23-PC-31769</t>
        </is>
      </c>
      <c r="B17" s="4" t="inlineStr">
        <is>
          <t>Rushgrass Draw Paleontological Monitoring</t>
        </is>
      </c>
      <c r="C17" s="4" t="inlineStr">
        <is>
          <t>Fixed fee</t>
        </is>
      </c>
      <c r="D17" s="4" t="inlineStr">
        <is>
          <t>In Progress</t>
        </is>
      </c>
      <c r="E17" s="4" t="inlineStr">
        <is>
          <t>Gene Nixon</t>
        </is>
      </c>
      <c r="F17" s="5" t="n">
        <v>34800</v>
      </c>
      <c r="G17" s="5" t="n">
        <v>28779.6</v>
      </c>
      <c r="H17" s="5" t="n">
        <v>28779.6</v>
      </c>
      <c r="I17" s="5" t="n">
        <v>0</v>
      </c>
      <c r="J17" s="5" t="n">
        <v>34800</v>
      </c>
      <c r="K17" s="6" t="n">
        <v>1</v>
      </c>
      <c r="L17" s="5" t="n">
        <v>31540.76</v>
      </c>
      <c r="M17" s="5" t="n">
        <v>-2761.16</v>
      </c>
      <c r="N17" s="6">
        <f>IF(G17=0,0,L17/G17)</f>
        <v/>
      </c>
      <c r="O17" s="5">
        <f>J17-L17</f>
        <v/>
      </c>
      <c r="P17" s="4" t="inlineStr">
        <is>
          <t>Cascade</t>
        </is>
      </c>
    </row>
    <row r="18">
      <c r="A18" s="4" t="inlineStr">
        <is>
          <t>23-PC-31812</t>
        </is>
      </c>
      <c r="B18" s="4" t="inlineStr">
        <is>
          <t>On-Call: Granite Pass Mine Expansion Phase II Testing</t>
        </is>
      </c>
      <c r="C18" s="4" t="inlineStr">
        <is>
          <t>Fixed fee</t>
        </is>
      </c>
      <c r="D18" s="4" t="inlineStr">
        <is>
          <t>In Progress</t>
        </is>
      </c>
      <c r="E18" s="4" t="inlineStr">
        <is>
          <t>Jeff Spence</t>
        </is>
      </c>
      <c r="F18" s="5" t="n">
        <v>460600</v>
      </c>
      <c r="G18" s="5" t="n">
        <v>390957.28</v>
      </c>
      <c r="H18" s="5" t="n">
        <v>390957.28</v>
      </c>
      <c r="I18" s="5" t="n">
        <v>0</v>
      </c>
      <c r="J18" s="5" t="n">
        <v>348674.2</v>
      </c>
      <c r="K18" s="6" t="n">
        <v>0.757</v>
      </c>
      <c r="L18" s="5" t="n">
        <v>295973.9</v>
      </c>
      <c r="M18" s="5" t="n">
        <v>94983.38</v>
      </c>
      <c r="N18" s="6">
        <f>IF(G18=0,0,L18/G18)</f>
        <v/>
      </c>
      <c r="O18" s="5">
        <f>J18-L18</f>
        <v/>
      </c>
      <c r="P18" s="4" t="inlineStr">
        <is>
          <t>Cascade</t>
        </is>
      </c>
    </row>
    <row r="19">
      <c r="A19" s="4" t="inlineStr">
        <is>
          <t>23-PC-31844</t>
        </is>
      </c>
      <c r="B19" s="4" t="inlineStr">
        <is>
          <t>Task Order 37: Sea Oat Water Main Archaeological Testing</t>
        </is>
      </c>
      <c r="C19" s="4" t="inlineStr">
        <is>
          <t>Fixed fee</t>
        </is>
      </c>
      <c r="D19" s="4" t="inlineStr">
        <is>
          <t>Cost Tracking on Closed Project</t>
        </is>
      </c>
      <c r="E19" s="4" t="inlineStr">
        <is>
          <t>Jeff Spence</t>
        </is>
      </c>
      <c r="F19" s="5" t="n">
        <v>175300</v>
      </c>
      <c r="G19" s="5" t="n">
        <v>93481.00999999999</v>
      </c>
      <c r="H19" s="5" t="n">
        <v>71376.84</v>
      </c>
      <c r="I19" s="5" t="n">
        <v>22104.17</v>
      </c>
      <c r="J19" s="5" t="n">
        <v>175300</v>
      </c>
      <c r="K19" s="6" t="n">
        <v>1</v>
      </c>
      <c r="L19" s="5" t="n">
        <v>112759.17</v>
      </c>
      <c r="M19" s="5" t="n">
        <v>-19278.16</v>
      </c>
      <c r="N19" s="6">
        <f>IF(G19=0,0,L19/G19)</f>
        <v/>
      </c>
      <c r="O19" s="5">
        <f>J19-L19</f>
        <v/>
      </c>
      <c r="P19" s="4" t="inlineStr">
        <is>
          <t>Cascade</t>
        </is>
      </c>
    </row>
    <row r="20">
      <c r="A20" s="4" t="inlineStr">
        <is>
          <t>23-PC-32329</t>
        </is>
      </c>
      <c r="B20" s="4" t="inlineStr">
        <is>
          <t>Rushgrass Draw Historic Resources Evaluation</t>
        </is>
      </c>
      <c r="C20" s="4" t="inlineStr">
        <is>
          <t>Fixed fee</t>
        </is>
      </c>
      <c r="D20" s="4" t="inlineStr">
        <is>
          <t>In Progress</t>
        </is>
      </c>
      <c r="E20" s="4" t="inlineStr">
        <is>
          <t>Sandy Kerr</t>
        </is>
      </c>
      <c r="F20" s="5" t="n">
        <v>149100</v>
      </c>
      <c r="G20" s="5" t="n">
        <v>111109.32</v>
      </c>
      <c r="H20" s="5" t="n">
        <v>111109.32</v>
      </c>
      <c r="I20" s="5" t="n">
        <v>0</v>
      </c>
      <c r="J20" s="5" t="n">
        <v>132892.83</v>
      </c>
      <c r="K20" s="6" t="n">
        <v>0.891</v>
      </c>
      <c r="L20" s="5" t="n">
        <v>99032.78</v>
      </c>
      <c r="M20" s="5" t="n">
        <v>12076.54000000001</v>
      </c>
      <c r="N20" s="6">
        <f>IF(G20=0,0,L20/G20)</f>
        <v/>
      </c>
      <c r="O20" s="5">
        <f>J20-L20</f>
        <v/>
      </c>
      <c r="P20" s="4" t="inlineStr">
        <is>
          <t>Chesapeake</t>
        </is>
      </c>
    </row>
    <row r="21">
      <c r="A21" s="4" t="inlineStr">
        <is>
          <t>23-PC-32635</t>
        </is>
      </c>
      <c r="B21" s="4" t="inlineStr">
        <is>
          <t>Rushgrass Draw Curation</t>
        </is>
      </c>
      <c r="C21" s="4" t="inlineStr">
        <is>
          <t>Time and material</t>
        </is>
      </c>
      <c r="D21" s="4" t="inlineStr">
        <is>
          <t>Cost Tracking on Closed Project</t>
        </is>
      </c>
      <c r="E21" s="4" t="inlineStr">
        <is>
          <t>Jason Oconnor</t>
        </is>
      </c>
      <c r="F21" s="5" t="n">
        <v>36800</v>
      </c>
      <c r="G21" s="5" t="n">
        <v>24644.96</v>
      </c>
      <c r="H21" s="5" t="n">
        <v>24644.96</v>
      </c>
      <c r="I21" s="5" t="n">
        <v>0</v>
      </c>
      <c r="J21" s="5" t="n">
        <v>25024</v>
      </c>
      <c r="K21" s="6" t="n">
        <v>0.68</v>
      </c>
      <c r="L21" s="5" t="n">
        <v>27323.95</v>
      </c>
      <c r="M21" s="5" t="n">
        <v>-2678.990000000002</v>
      </c>
      <c r="N21" s="6">
        <f>IF(G21=0,0,L21/G21)</f>
        <v/>
      </c>
      <c r="O21" s="5">
        <f>J21-L21</f>
        <v/>
      </c>
      <c r="P21" s="4" t="inlineStr">
        <is>
          <t>Chesapeake</t>
        </is>
      </c>
    </row>
    <row r="22">
      <c r="A22" s="4" t="inlineStr">
        <is>
          <t>23-PC-33070</t>
        </is>
      </c>
      <c r="B22" s="4" t="inlineStr">
        <is>
          <t>Meadowlark Curation</t>
        </is>
      </c>
      <c r="C22" s="4" t="inlineStr">
        <is>
          <t>Fixed fee</t>
        </is>
      </c>
      <c r="D22" s="4" t="inlineStr">
        <is>
          <t>In Progress</t>
        </is>
      </c>
      <c r="E22" s="4" t="inlineStr">
        <is>
          <t>Reginald Vargas</t>
        </is>
      </c>
      <c r="F22" s="5" t="n">
        <v>55100</v>
      </c>
      <c r="G22" s="5" t="n">
        <v>34299.75</v>
      </c>
      <c r="H22" s="5" t="n">
        <v>34299.75</v>
      </c>
      <c r="I22" s="5" t="n">
        <v>0</v>
      </c>
      <c r="J22" s="5" t="n">
        <v>46377.67</v>
      </c>
      <c r="K22" s="6" t="n">
        <v>0.842</v>
      </c>
      <c r="L22" s="5" t="n">
        <v>28871.53</v>
      </c>
      <c r="M22" s="5" t="n">
        <v>5428.220000000001</v>
      </c>
      <c r="N22" s="6">
        <f>IF(G22=0,0,L22/G22)</f>
        <v/>
      </c>
      <c r="O22" s="5">
        <f>J22-L22</f>
        <v/>
      </c>
      <c r="P22" s="4" t="inlineStr">
        <is>
          <t>Front Range</t>
        </is>
      </c>
    </row>
    <row r="23">
      <c r="A23" s="4" t="inlineStr">
        <is>
          <t>23-PC-33151</t>
        </is>
      </c>
      <c r="B23" s="4" t="inlineStr">
        <is>
          <t>Sandpiper Class III Survey</t>
        </is>
      </c>
      <c r="C23" s="4" t="inlineStr">
        <is>
          <t>Fixed fee</t>
        </is>
      </c>
      <c r="D23" s="4" t="inlineStr">
        <is>
          <t>In Progress</t>
        </is>
      </c>
      <c r="E23" s="4" t="inlineStr">
        <is>
          <t>Kimberly Daugherty</t>
        </is>
      </c>
      <c r="F23" s="5" t="n">
        <v>637100</v>
      </c>
      <c r="G23" s="5" t="n">
        <v>497638.81</v>
      </c>
      <c r="H23" s="5" t="n">
        <v>497638.81</v>
      </c>
      <c r="I23" s="5" t="n">
        <v>0</v>
      </c>
      <c r="J23" s="5" t="n">
        <v>540961.61</v>
      </c>
      <c r="K23" s="6" t="n">
        <v>0.849</v>
      </c>
      <c r="L23" s="5" t="n">
        <v>422546.87</v>
      </c>
      <c r="M23" s="5" t="n">
        <v>75091.94</v>
      </c>
      <c r="N23" s="6">
        <f>IF(G23=0,0,L23/G23)</f>
        <v/>
      </c>
      <c r="O23" s="5">
        <f>J23-L23</f>
        <v/>
      </c>
      <c r="P23" s="4" t="inlineStr">
        <is>
          <t>Front Range</t>
        </is>
      </c>
    </row>
    <row r="24">
      <c r="A24" s="4" t="inlineStr">
        <is>
          <t>23-PC-33553</t>
        </is>
      </c>
      <c r="B24" s="4" t="inlineStr">
        <is>
          <t>Phase III: Yarrow Point Reservoir Archaeological Testing</t>
        </is>
      </c>
      <c r="C24" s="4" t="inlineStr">
        <is>
          <t>Fixed fee</t>
        </is>
      </c>
      <c r="D24" s="4" t="inlineStr">
        <is>
          <t>In Progress</t>
        </is>
      </c>
      <c r="E24" s="4" t="inlineStr">
        <is>
          <t>Kimberly Daugherty</t>
        </is>
      </c>
      <c r="F24" s="5" t="n">
        <v>21600</v>
      </c>
      <c r="G24" s="5" t="n">
        <v>15245.28</v>
      </c>
      <c r="H24" s="5" t="n">
        <v>15245.28</v>
      </c>
      <c r="I24" s="5" t="n">
        <v>0</v>
      </c>
      <c r="J24" s="5" t="n">
        <v>21600</v>
      </c>
      <c r="K24" s="6" t="n">
        <v>1</v>
      </c>
      <c r="L24" s="5" t="n">
        <v>16551.79</v>
      </c>
      <c r="M24" s="5" t="n">
        <v>-1306.51</v>
      </c>
      <c r="N24" s="6">
        <f>IF(G24=0,0,L24/G24)</f>
        <v/>
      </c>
      <c r="O24" s="5">
        <f>J24-L24</f>
        <v/>
      </c>
      <c r="P24" s="4" t="inlineStr">
        <is>
          <t>Front Range</t>
        </is>
      </c>
    </row>
    <row r="25">
      <c r="A25" s="4" t="inlineStr">
        <is>
          <t>23-PC-33879</t>
        </is>
      </c>
      <c r="B25" s="4" t="inlineStr">
        <is>
          <t>Phase III: Twin Buttes Canal Lining GIS Mapping</t>
        </is>
      </c>
      <c r="C25" s="4" t="inlineStr">
        <is>
          <t>Time and material</t>
        </is>
      </c>
      <c r="D25" s="4" t="inlineStr">
        <is>
          <t>In Progress</t>
        </is>
      </c>
      <c r="E25" s="4" t="inlineStr">
        <is>
          <t>Jeff Pugh</t>
        </is>
      </c>
      <c r="F25" s="5" t="n">
        <v>300600</v>
      </c>
      <c r="G25" s="5" t="n">
        <v>219257.64</v>
      </c>
      <c r="H25" s="5" t="n">
        <v>219257.64</v>
      </c>
      <c r="I25" s="5" t="n">
        <v>0</v>
      </c>
      <c r="J25" s="5" t="n">
        <v>204408</v>
      </c>
      <c r="K25" s="6" t="n">
        <v>0.68</v>
      </c>
      <c r="L25" s="5" t="n">
        <v>176674.59</v>
      </c>
      <c r="M25" s="5" t="n">
        <v>42583.05000000002</v>
      </c>
      <c r="N25" s="6">
        <f>IF(G25=0,0,L25/G25)</f>
        <v/>
      </c>
      <c r="O25" s="5">
        <f>J25-L25</f>
        <v/>
      </c>
      <c r="P25" s="4" t="inlineStr">
        <is>
          <t>Great Lakes</t>
        </is>
      </c>
    </row>
    <row r="26">
      <c r="A26" s="4" t="inlineStr">
        <is>
          <t>23-PC-34353</t>
        </is>
      </c>
      <c r="B26" s="4" t="inlineStr">
        <is>
          <t>Cedar Hollow Levee Repair Phase II Testing</t>
        </is>
      </c>
      <c r="C26" s="4" t="inlineStr">
        <is>
          <t>Time and material</t>
        </is>
      </c>
      <c r="D26" s="4" t="inlineStr">
        <is>
          <t>In Progress</t>
        </is>
      </c>
      <c r="E26" s="4" t="inlineStr">
        <is>
          <t>Kathleen Galvan</t>
        </is>
      </c>
      <c r="F26" s="5" t="n">
        <v>373100</v>
      </c>
      <c r="G26" s="5" t="n">
        <v>247626.47</v>
      </c>
      <c r="H26" s="5" t="n">
        <v>247626.47</v>
      </c>
      <c r="I26" s="5" t="n">
        <v>0</v>
      </c>
      <c r="J26" s="5" t="n">
        <v>253708</v>
      </c>
      <c r="K26" s="6" t="n">
        <v>0.68</v>
      </c>
      <c r="L26" s="5" t="n">
        <v>184659.6</v>
      </c>
      <c r="M26" s="5" t="n">
        <v>62966.87</v>
      </c>
      <c r="N26" s="6">
        <f>IF(G26=0,0,L26/G26)</f>
        <v/>
      </c>
      <c r="O26" s="5">
        <f>J26-L26</f>
        <v/>
      </c>
      <c r="P26" s="4" t="inlineStr">
        <is>
          <t>Great Lakes</t>
        </is>
      </c>
    </row>
    <row r="27">
      <c r="A27" s="4" t="inlineStr">
        <is>
          <t>23-PC-34403</t>
        </is>
      </c>
      <c r="B27" s="4" t="inlineStr">
        <is>
          <t>Plover Cove Built Environment Survey</t>
        </is>
      </c>
      <c r="C27" s="4" t="inlineStr">
        <is>
          <t>Time and material</t>
        </is>
      </c>
      <c r="D27" s="4" t="inlineStr">
        <is>
          <t>In Progress</t>
        </is>
      </c>
      <c r="E27" s="4" t="inlineStr">
        <is>
          <t>Kathleen Galvan</t>
        </is>
      </c>
      <c r="F27" s="5" t="n">
        <v>46200</v>
      </c>
      <c r="G27" s="5" t="n">
        <v>30187.08</v>
      </c>
      <c r="H27" s="5" t="n">
        <v>30187.08</v>
      </c>
      <c r="I27" s="5" t="n">
        <v>0</v>
      </c>
      <c r="J27" s="5" t="n">
        <v>31416</v>
      </c>
      <c r="K27" s="6" t="n">
        <v>0.68</v>
      </c>
      <c r="L27" s="5" t="n">
        <v>23628.2</v>
      </c>
      <c r="M27" s="5" t="n">
        <v>6558.880000000001</v>
      </c>
      <c r="N27" s="6">
        <f>IF(G27=0,0,L27/G27)</f>
        <v/>
      </c>
      <c r="O27" s="5">
        <f>J27-L27</f>
        <v/>
      </c>
      <c r="P27" s="4" t="inlineStr">
        <is>
          <t>Great Lakes</t>
        </is>
      </c>
    </row>
    <row r="28">
      <c r="A28" s="4" t="inlineStr">
        <is>
          <t>23-PC-34440</t>
        </is>
      </c>
      <c r="B28" s="4" t="inlineStr">
        <is>
          <t>Dove Canyon Bridge Replacement - Phase II Testing</t>
        </is>
      </c>
      <c r="C28" s="4" t="inlineStr">
        <is>
          <t>Fixed fee</t>
        </is>
      </c>
      <c r="D28" s="4" t="inlineStr">
        <is>
          <t>In Progress</t>
        </is>
      </c>
      <c r="E28" s="4" t="inlineStr">
        <is>
          <t>Angelica Cervantes</t>
        </is>
      </c>
      <c r="F28" s="5" t="n">
        <v>477000</v>
      </c>
      <c r="G28" s="5" t="n">
        <v>333756.9</v>
      </c>
      <c r="H28" s="5" t="n">
        <v>333756.9</v>
      </c>
      <c r="I28" s="5" t="n">
        <v>0</v>
      </c>
      <c r="J28" s="5" t="n">
        <v>347303.7</v>
      </c>
      <c r="K28" s="6" t="n">
        <v>0.728</v>
      </c>
      <c r="L28" s="5" t="n">
        <v>243019.93</v>
      </c>
      <c r="M28" s="5" t="n">
        <v>90736.97000000003</v>
      </c>
      <c r="N28" s="6">
        <f>IF(G28=0,0,L28/G28)</f>
        <v/>
      </c>
      <c r="O28" s="5">
        <f>J28-L28</f>
        <v/>
      </c>
      <c r="P28" s="4" t="inlineStr">
        <is>
          <t>Great Lakes</t>
        </is>
      </c>
    </row>
    <row r="29">
      <c r="A29" s="4" t="inlineStr">
        <is>
          <t>23-PC-34510</t>
        </is>
      </c>
      <c r="B29" s="4" t="inlineStr">
        <is>
          <t>Millbrook Mixed-Use Development Class III Survey</t>
        </is>
      </c>
      <c r="C29" s="4" t="inlineStr">
        <is>
          <t>Time and material</t>
        </is>
      </c>
      <c r="D29" s="4" t="inlineStr">
        <is>
          <t>Final Reporting/Review</t>
        </is>
      </c>
      <c r="E29" s="4" t="inlineStr">
        <is>
          <t>Geoffrey Fernandez</t>
        </is>
      </c>
      <c r="F29" s="5" t="n">
        <v>70000</v>
      </c>
      <c r="G29" s="5" t="n">
        <v>50246</v>
      </c>
      <c r="H29" s="5" t="n">
        <v>50246</v>
      </c>
      <c r="I29" s="5" t="n">
        <v>0</v>
      </c>
      <c r="J29" s="5" t="n">
        <v>47600</v>
      </c>
      <c r="K29" s="6" t="n">
        <v>0.68</v>
      </c>
      <c r="L29" s="5" t="n">
        <v>45814.41</v>
      </c>
      <c r="M29" s="5" t="n">
        <v>4431.589999999997</v>
      </c>
      <c r="N29" s="6">
        <f>IF(G29=0,0,L29/G29)</f>
        <v/>
      </c>
      <c r="O29" s="5">
        <f>J29-L29</f>
        <v/>
      </c>
      <c r="P29" s="4" t="inlineStr">
        <is>
          <t>Great Lakes</t>
        </is>
      </c>
    </row>
    <row r="30">
      <c r="A30" s="4" t="inlineStr">
        <is>
          <t>23-PC-34789</t>
        </is>
      </c>
      <c r="B30" s="4" t="inlineStr">
        <is>
          <t>On-Call: Sea Oat Cell Tower Historic Resources Evaluation</t>
        </is>
      </c>
      <c r="C30" s="4" t="inlineStr">
        <is>
          <t>Fixed fee</t>
        </is>
      </c>
      <c r="D30" s="4" t="inlineStr">
        <is>
          <t>In Progress</t>
        </is>
      </c>
      <c r="E30" s="4" t="inlineStr">
        <is>
          <t>Sean Jennings</t>
        </is>
      </c>
      <c r="F30" s="5" t="n">
        <v>46100</v>
      </c>
      <c r="G30" s="5" t="n">
        <v>31721.41</v>
      </c>
      <c r="H30" s="5" t="n">
        <v>31721.41</v>
      </c>
      <c r="I30" s="5" t="n">
        <v>0</v>
      </c>
      <c r="J30" s="5" t="n">
        <v>32472.84</v>
      </c>
      <c r="K30" s="6" t="n">
        <v>0.704</v>
      </c>
      <c r="L30" s="5" t="n">
        <v>22343.25</v>
      </c>
      <c r="M30" s="5" t="n">
        <v>9378.16</v>
      </c>
      <c r="N30" s="6">
        <f>IF(G30=0,0,L30/G30)</f>
        <v/>
      </c>
      <c r="O30" s="5">
        <f>J30-L30</f>
        <v/>
      </c>
      <c r="P30" s="4" t="inlineStr">
        <is>
          <t>Gulf Coast</t>
        </is>
      </c>
    </row>
    <row r="31">
      <c r="A31" s="4" t="inlineStr">
        <is>
          <t>23-PC-35225</t>
        </is>
      </c>
      <c r="B31" s="4" t="inlineStr">
        <is>
          <t>Tansy Flat Rail Siding - Archaeological Testing</t>
        </is>
      </c>
      <c r="C31" s="4" t="inlineStr">
        <is>
          <t>Fixed fee</t>
        </is>
      </c>
      <c r="D31" s="4" t="inlineStr">
        <is>
          <t>In Progress</t>
        </is>
      </c>
      <c r="E31" s="4" t="inlineStr">
        <is>
          <t>Wyatt Erickson</t>
        </is>
      </c>
      <c r="F31" s="5" t="n">
        <v>407900</v>
      </c>
      <c r="G31" s="5" t="n">
        <v>321139.67</v>
      </c>
      <c r="H31" s="5" t="n">
        <v>321139.67</v>
      </c>
      <c r="I31" s="5" t="n">
        <v>0</v>
      </c>
      <c r="J31" s="5" t="n">
        <v>303355.23</v>
      </c>
      <c r="K31" s="6" t="n">
        <v>0.744</v>
      </c>
      <c r="L31" s="5" t="n">
        <v>238828.33</v>
      </c>
      <c r="M31" s="5" t="n">
        <v>82311.34</v>
      </c>
      <c r="N31" s="6">
        <f>IF(G31=0,0,L31/G31)</f>
        <v/>
      </c>
      <c r="O31" s="5">
        <f>J31-L31</f>
        <v/>
      </c>
      <c r="P31" s="4" t="inlineStr">
        <is>
          <t>Gulf Coast East</t>
        </is>
      </c>
    </row>
    <row r="32">
      <c r="A32" s="4" t="inlineStr">
        <is>
          <t>23-PC-35486</t>
        </is>
      </c>
      <c r="B32" s="4" t="inlineStr">
        <is>
          <t>On-Call: Saltgrass Airport Apron Maritime Remote Sensing Survey</t>
        </is>
      </c>
      <c r="C32" s="4" t="inlineStr">
        <is>
          <t>Time and material</t>
        </is>
      </c>
      <c r="D32" s="4" t="inlineStr">
        <is>
          <t>In Progress</t>
        </is>
      </c>
      <c r="E32" s="4" t="inlineStr">
        <is>
          <t>Jody Wang</t>
        </is>
      </c>
      <c r="F32" s="5" t="n">
        <v>116200</v>
      </c>
      <c r="G32" s="5" t="n">
        <v>87219.72</v>
      </c>
      <c r="H32" s="5" t="n">
        <v>87219.72</v>
      </c>
      <c r="I32" s="5" t="n">
        <v>0</v>
      </c>
      <c r="J32" s="5" t="n">
        <v>79016</v>
      </c>
      <c r="K32" s="6" t="n">
        <v>0.68</v>
      </c>
      <c r="L32" s="5" t="n">
        <v>78190.34</v>
      </c>
      <c r="M32" s="5" t="n">
        <v>9029.380000000005</v>
      </c>
      <c r="N32" s="6">
        <f>IF(G32=0,0,L32/G32)</f>
        <v/>
      </c>
      <c r="O32" s="5">
        <f>J32-L32</f>
        <v/>
      </c>
      <c r="P32" s="4" t="inlineStr">
        <is>
          <t>High Desert</t>
        </is>
      </c>
    </row>
    <row r="33">
      <c r="A33" s="4" t="inlineStr">
        <is>
          <t>23-PC-35533</t>
        </is>
      </c>
      <c r="B33" s="4" t="inlineStr">
        <is>
          <t>Task Order 19: Granite Pass Reservoir Section 106 Consultation</t>
        </is>
      </c>
      <c r="C33" s="4" t="inlineStr">
        <is>
          <t>Fixed fee</t>
        </is>
      </c>
      <c r="D33" s="4" t="inlineStr">
        <is>
          <t>In Progress</t>
        </is>
      </c>
      <c r="E33" s="4" t="inlineStr">
        <is>
          <t>Eileen Poole</t>
        </is>
      </c>
      <c r="F33" s="5" t="n">
        <v>11400</v>
      </c>
      <c r="G33" s="5" t="n">
        <v>8206.860000000001</v>
      </c>
      <c r="H33" s="5" t="n">
        <v>8206.860000000001</v>
      </c>
      <c r="I33" s="5" t="n">
        <v>0</v>
      </c>
      <c r="J33" s="5" t="n">
        <v>8681.1</v>
      </c>
      <c r="K33" s="6" t="n">
        <v>0.762</v>
      </c>
      <c r="L33" s="5" t="n">
        <v>6249.46</v>
      </c>
      <c r="M33" s="5" t="n">
        <v>1957.400000000001</v>
      </c>
      <c r="N33" s="6">
        <f>IF(G33=0,0,L33/G33)</f>
        <v/>
      </c>
      <c r="O33" s="5">
        <f>J33-L33</f>
        <v/>
      </c>
      <c r="P33" s="4" t="inlineStr">
        <is>
          <t>High Desert</t>
        </is>
      </c>
    </row>
    <row r="34">
      <c r="A34" s="4" t="inlineStr">
        <is>
          <t>23-PC-35682</t>
        </is>
      </c>
      <c r="B34" s="4" t="inlineStr">
        <is>
          <t>Lantern Bay Class III Survey</t>
        </is>
      </c>
      <c r="C34" s="4" t="inlineStr">
        <is>
          <t>Fixed fee</t>
        </is>
      </c>
      <c r="D34" s="4" t="inlineStr">
        <is>
          <t>In Progress</t>
        </is>
      </c>
      <c r="E34" s="4" t="inlineStr">
        <is>
          <t>Eileen Poole</t>
        </is>
      </c>
      <c r="F34" s="5" t="n">
        <v>290400</v>
      </c>
      <c r="G34" s="5" t="n">
        <v>252938.4</v>
      </c>
      <c r="H34" s="5" t="n">
        <v>252938.4</v>
      </c>
      <c r="I34" s="5" t="n">
        <v>0</v>
      </c>
      <c r="J34" s="5" t="n">
        <v>277361.04</v>
      </c>
      <c r="K34" s="6" t="n">
        <v>0.955</v>
      </c>
      <c r="L34" s="5" t="n">
        <v>241578.4</v>
      </c>
      <c r="M34" s="5" t="n">
        <v>11360</v>
      </c>
      <c r="N34" s="6">
        <f>IF(G34=0,0,L34/G34)</f>
        <v/>
      </c>
      <c r="O34" s="5">
        <f>J34-L34</f>
        <v/>
      </c>
      <c r="P34" s="4" t="inlineStr">
        <is>
          <t>High Desert</t>
        </is>
      </c>
    </row>
    <row r="35">
      <c r="A35" s="4" t="inlineStr">
        <is>
          <t>23-PC-36063</t>
        </is>
      </c>
      <c r="B35" s="4" t="inlineStr">
        <is>
          <t>Plover Cove Mine Expansion - Phase II Testing</t>
        </is>
      </c>
      <c r="C35" s="4" t="inlineStr">
        <is>
          <t>Fixed fee</t>
        </is>
      </c>
      <c r="D35" s="4" t="inlineStr">
        <is>
          <t>In Progress</t>
        </is>
      </c>
      <c r="E35" s="4" t="inlineStr">
        <is>
          <t>Kathy Hurley</t>
        </is>
      </c>
      <c r="F35" s="5" t="n">
        <v>114600</v>
      </c>
      <c r="G35" s="5" t="n">
        <v>77893.62</v>
      </c>
      <c r="H35" s="5" t="n">
        <v>77893.62</v>
      </c>
      <c r="I35" s="5" t="n">
        <v>0</v>
      </c>
      <c r="J35" s="5" t="n">
        <v>104870.46</v>
      </c>
      <c r="K35" s="6" t="n">
        <v>0.915</v>
      </c>
      <c r="L35" s="5" t="n">
        <v>71277.07000000001</v>
      </c>
      <c r="M35" s="5" t="n">
        <v>6616.549999999988</v>
      </c>
      <c r="N35" s="6">
        <f>IF(G35=0,0,L35/G35)</f>
        <v/>
      </c>
      <c r="O35" s="5">
        <f>J35-L35</f>
        <v/>
      </c>
      <c r="P35" s="4" t="inlineStr">
        <is>
          <t>High Desert</t>
        </is>
      </c>
    </row>
    <row r="36">
      <c r="A36" s="4" t="inlineStr">
        <is>
          <t>23-PC-36422</t>
        </is>
      </c>
      <c r="B36" s="4" t="inlineStr">
        <is>
          <t>Hawk Point Phase I Survey</t>
        </is>
      </c>
      <c r="C36" s="4" t="inlineStr">
        <is>
          <t>Time and material</t>
        </is>
      </c>
      <c r="D36" s="4" t="inlineStr">
        <is>
          <t>In Progress</t>
        </is>
      </c>
      <c r="E36" s="4" t="inlineStr">
        <is>
          <t>Joan Mathis</t>
        </is>
      </c>
      <c r="F36" s="5" t="n">
        <v>50700</v>
      </c>
      <c r="G36" s="5" t="n">
        <v>36579.06</v>
      </c>
      <c r="H36" s="5" t="n">
        <v>32790.93</v>
      </c>
      <c r="I36" s="5" t="n">
        <v>3788.13</v>
      </c>
      <c r="J36" s="5" t="n">
        <v>34476</v>
      </c>
      <c r="K36" s="6" t="n">
        <v>0.68</v>
      </c>
      <c r="L36" s="5" t="n">
        <v>37409.59</v>
      </c>
      <c r="M36" s="5" t="n">
        <v>-830.5299999999988</v>
      </c>
      <c r="N36" s="6">
        <f>IF(G36=0,0,L36/G36)</f>
        <v/>
      </c>
      <c r="O36" s="5">
        <f>J36-L36</f>
        <v/>
      </c>
      <c r="P36" s="4" t="inlineStr">
        <is>
          <t>Island</t>
        </is>
      </c>
    </row>
    <row r="37">
      <c r="A37" s="4" t="inlineStr">
        <is>
          <t>23-PC-36687</t>
        </is>
      </c>
      <c r="B37" s="4" t="inlineStr">
        <is>
          <t>On-Call: Pine Hollow Transmission Line Environmental Review Support</t>
        </is>
      </c>
      <c r="C37" s="4" t="inlineStr">
        <is>
          <t>Fixed fee</t>
        </is>
      </c>
      <c r="D37" s="4" t="inlineStr">
        <is>
          <t>In Progress</t>
        </is>
      </c>
      <c r="E37" s="4" t="inlineStr">
        <is>
          <t>Jeanette Riddle</t>
        </is>
      </c>
      <c r="F37" s="5" t="n">
        <v>201000</v>
      </c>
      <c r="G37" s="5" t="n">
        <v>151513.8</v>
      </c>
      <c r="H37" s="5" t="n">
        <v>151513.8</v>
      </c>
      <c r="I37" s="5" t="n">
        <v>0</v>
      </c>
      <c r="J37" s="5" t="n">
        <v>170226.9</v>
      </c>
      <c r="K37" s="6" t="n">
        <v>0.847</v>
      </c>
      <c r="L37" s="5" t="n">
        <v>128322.24</v>
      </c>
      <c r="M37" s="5" t="n">
        <v>23191.55999999998</v>
      </c>
      <c r="N37" s="6">
        <f>IF(G37=0,0,L37/G37)</f>
        <v/>
      </c>
      <c r="O37" s="5">
        <f>J37-L37</f>
        <v/>
      </c>
      <c r="P37" s="4" t="inlineStr">
        <is>
          <t>Lakeshore</t>
        </is>
      </c>
    </row>
    <row r="38">
      <c r="A38" s="4" t="inlineStr">
        <is>
          <t>23-PC-36734</t>
        </is>
      </c>
      <c r="B38" s="4" t="inlineStr">
        <is>
          <t>Raven Rock Curation</t>
        </is>
      </c>
      <c r="C38" s="4" t="inlineStr">
        <is>
          <t>Fixed fee</t>
        </is>
      </c>
      <c r="D38" s="4" t="inlineStr">
        <is>
          <t>In Progress</t>
        </is>
      </c>
      <c r="E38" s="4" t="inlineStr">
        <is>
          <t>Terrence Gillespie</t>
        </is>
      </c>
      <c r="F38" s="5" t="n">
        <v>38600</v>
      </c>
      <c r="G38" s="5" t="n">
        <v>27753.4</v>
      </c>
      <c r="H38" s="5" t="n">
        <v>27753.4</v>
      </c>
      <c r="I38" s="5" t="n">
        <v>0</v>
      </c>
      <c r="J38" s="5" t="n">
        <v>36284</v>
      </c>
      <c r="K38" s="6" t="n">
        <v>0.9399999999999999</v>
      </c>
      <c r="L38" s="5" t="n">
        <v>26089.14</v>
      </c>
      <c r="M38" s="5" t="n">
        <v>1664.260000000002</v>
      </c>
      <c r="N38" s="6">
        <f>IF(G38=0,0,L38/G38)</f>
        <v/>
      </c>
      <c r="O38" s="5">
        <f>J38-L38</f>
        <v/>
      </c>
      <c r="P38" s="4" t="inlineStr">
        <is>
          <t>Lakeshore</t>
        </is>
      </c>
    </row>
    <row r="39">
      <c r="A39" s="4" t="inlineStr">
        <is>
          <t>23-PC-37568</t>
        </is>
      </c>
      <c r="B39" s="4" t="inlineStr">
        <is>
          <t>On-Call: Eagle Bend Housing Development Data Recovery</t>
        </is>
      </c>
      <c r="C39" s="4" t="inlineStr">
        <is>
          <t>Fixed fee</t>
        </is>
      </c>
      <c r="D39" s="4" t="inlineStr">
        <is>
          <t>In Progress</t>
        </is>
      </c>
      <c r="E39" s="4" t="inlineStr">
        <is>
          <t>Maria Parrish</t>
        </is>
      </c>
      <c r="F39" s="5" t="n">
        <v>44500</v>
      </c>
      <c r="G39" s="5" t="n">
        <v>35070.45</v>
      </c>
      <c r="H39" s="5" t="n">
        <v>35070.45</v>
      </c>
      <c r="I39" s="5" t="n">
        <v>0</v>
      </c>
      <c r="J39" s="5" t="n">
        <v>31902.05</v>
      </c>
      <c r="K39" s="6" t="n">
        <v>0.717</v>
      </c>
      <c r="L39" s="5" t="n">
        <v>25141.75</v>
      </c>
      <c r="M39" s="5" t="n">
        <v>9928.699999999997</v>
      </c>
      <c r="N39" s="6">
        <f>IF(G39=0,0,L39/G39)</f>
        <v/>
      </c>
      <c r="O39" s="5">
        <f>J39-L39</f>
        <v/>
      </c>
      <c r="P39" s="4" t="inlineStr">
        <is>
          <t>Piedmont - Inactive</t>
        </is>
      </c>
    </row>
    <row r="40">
      <c r="A40" s="4" t="inlineStr">
        <is>
          <t>23-PC-38231</t>
        </is>
      </c>
      <c r="B40" s="4" t="inlineStr">
        <is>
          <t>On-Call: Copper Flats Rail Siding Curation</t>
        </is>
      </c>
      <c r="C40" s="4" t="inlineStr">
        <is>
          <t>Time and material</t>
        </is>
      </c>
      <c r="D40" s="4" t="inlineStr">
        <is>
          <t>In Progress</t>
        </is>
      </c>
      <c r="E40" s="4" t="inlineStr">
        <is>
          <t>Sherry Lloyd</t>
        </is>
      </c>
      <c r="F40" s="5" t="n">
        <v>128200</v>
      </c>
      <c r="G40" s="5" t="n">
        <v>90073.32000000001</v>
      </c>
      <c r="H40" s="5" t="n">
        <v>90073.32000000001</v>
      </c>
      <c r="I40" s="5" t="n">
        <v>0</v>
      </c>
      <c r="J40" s="5" t="n">
        <v>87176</v>
      </c>
      <c r="K40" s="6" t="n">
        <v>0.68</v>
      </c>
      <c r="L40" s="5" t="n">
        <v>73724.08</v>
      </c>
      <c r="M40" s="5" t="n">
        <v>16349.24000000001</v>
      </c>
      <c r="N40" s="6">
        <f>IF(G40=0,0,L40/G40)</f>
        <v/>
      </c>
      <c r="O40" s="5">
        <f>J40-L40</f>
        <v/>
      </c>
      <c r="P40" s="4" t="inlineStr">
        <is>
          <t>Prairie</t>
        </is>
      </c>
    </row>
    <row r="41">
      <c r="A41" s="4" t="inlineStr">
        <is>
          <t>23-PC-38246</t>
        </is>
      </c>
      <c r="B41" s="4" t="inlineStr">
        <is>
          <t>Maple Fork Rail Siding - Maritime Remote Sensing Survey</t>
        </is>
      </c>
      <c r="C41" s="4" t="inlineStr">
        <is>
          <t>Fixed fee</t>
        </is>
      </c>
      <c r="D41" s="4" t="inlineStr">
        <is>
          <t>In Progress</t>
        </is>
      </c>
      <c r="E41" s="4" t="inlineStr">
        <is>
          <t>Sherry Lloyd</t>
        </is>
      </c>
      <c r="F41" s="5" t="n">
        <v>79800</v>
      </c>
      <c r="G41" s="5" t="n">
        <v>53434.08</v>
      </c>
      <c r="H41" s="5" t="n">
        <v>53434.08</v>
      </c>
      <c r="I41" s="5" t="n">
        <v>0</v>
      </c>
      <c r="J41" s="5" t="n">
        <v>57918.84</v>
      </c>
      <c r="K41" s="6" t="n">
        <v>0.726</v>
      </c>
      <c r="L41" s="5" t="n">
        <v>38783.48</v>
      </c>
      <c r="M41" s="5" t="n">
        <v>14650.6</v>
      </c>
      <c r="N41" s="6">
        <f>IF(G41=0,0,L41/G41)</f>
        <v/>
      </c>
      <c r="O41" s="5">
        <f>J41-L41</f>
        <v/>
      </c>
      <c r="P41" s="4" t="inlineStr">
        <is>
          <t>Prairie</t>
        </is>
      </c>
    </row>
    <row r="42">
      <c r="A42" s="4" t="inlineStr">
        <is>
          <t>23-PC-38498</t>
        </is>
      </c>
      <c r="B42" s="4" t="inlineStr">
        <is>
          <t>Tansy Flat Wind Farm Built Environment Survey</t>
        </is>
      </c>
      <c r="C42" s="4" t="inlineStr">
        <is>
          <t>Fixed fee</t>
        </is>
      </c>
      <c r="D42" s="4" t="inlineStr">
        <is>
          <t>In Progress</t>
        </is>
      </c>
      <c r="E42" s="4" t="inlineStr">
        <is>
          <t>Shelia Horne</t>
        </is>
      </c>
      <c r="F42" s="5" t="n">
        <v>67700</v>
      </c>
      <c r="G42" s="5" t="n">
        <v>44688.77</v>
      </c>
      <c r="H42" s="5" t="n">
        <v>44688.77</v>
      </c>
      <c r="I42" s="5" t="n">
        <v>0</v>
      </c>
      <c r="J42" s="5" t="n">
        <v>56556.58</v>
      </c>
      <c r="K42" s="6" t="n">
        <v>0.835</v>
      </c>
      <c r="L42" s="5" t="n">
        <v>37332.05</v>
      </c>
      <c r="M42" s="5" t="n">
        <v>7356.719999999994</v>
      </c>
      <c r="N42" s="6">
        <f>IF(G42=0,0,L42/G42)</f>
        <v/>
      </c>
      <c r="O42" s="5">
        <f>J42-L42</f>
        <v/>
      </c>
      <c r="P42" s="4" t="inlineStr">
        <is>
          <t>Red Rock</t>
        </is>
      </c>
    </row>
    <row r="43">
      <c r="A43" s="4" t="inlineStr">
        <is>
          <t>23-PC-38759</t>
        </is>
      </c>
      <c r="B43" s="4" t="inlineStr">
        <is>
          <t>Saltgrass Cultural Resources Assessment</t>
        </is>
      </c>
      <c r="C43" s="4" t="inlineStr">
        <is>
          <t>Time and material</t>
        </is>
      </c>
      <c r="D43" s="4" t="inlineStr">
        <is>
          <t>Cost Tracking on Closed Project</t>
        </is>
      </c>
      <c r="E43" s="4" t="inlineStr">
        <is>
          <t>Tina Aguirre</t>
        </is>
      </c>
      <c r="F43" s="5" t="n">
        <v>52400</v>
      </c>
      <c r="G43" s="5" t="n">
        <v>36847.68</v>
      </c>
      <c r="H43" s="5" t="n">
        <v>36847.68</v>
      </c>
      <c r="I43" s="5" t="n">
        <v>0</v>
      </c>
      <c r="J43" s="5" t="n">
        <v>35632</v>
      </c>
      <c r="K43" s="6" t="n">
        <v>0.68</v>
      </c>
      <c r="L43" s="5" t="n">
        <v>40372.44</v>
      </c>
      <c r="M43" s="5" t="n">
        <v>-3524.760000000002</v>
      </c>
      <c r="N43" s="6">
        <f>IF(G43=0,0,L43/G43)</f>
        <v/>
      </c>
      <c r="O43" s="5">
        <f>J43-L43</f>
        <v/>
      </c>
      <c r="P43" s="4" t="inlineStr">
        <is>
          <t>Red Rock</t>
        </is>
      </c>
    </row>
    <row r="44">
      <c r="A44" s="4" t="inlineStr">
        <is>
          <t>23-PC-38849</t>
        </is>
      </c>
      <c r="B44" s="4" t="inlineStr">
        <is>
          <t>Phase III: Copper Flats Levee Repair Curation</t>
        </is>
      </c>
      <c r="C44" s="4" t="inlineStr">
        <is>
          <t>Fixed fee</t>
        </is>
      </c>
      <c r="D44" s="4" t="inlineStr">
        <is>
          <t>In Progress</t>
        </is>
      </c>
      <c r="E44" s="4" t="inlineStr">
        <is>
          <t>Tina Aguirre</t>
        </is>
      </c>
      <c r="F44" s="5" t="n">
        <v>109400</v>
      </c>
      <c r="G44" s="5" t="n">
        <v>83089.3</v>
      </c>
      <c r="H44" s="5" t="n">
        <v>83089.3</v>
      </c>
      <c r="I44" s="5" t="n">
        <v>0</v>
      </c>
      <c r="J44" s="5" t="n">
        <v>86962.06</v>
      </c>
      <c r="K44" s="6" t="n">
        <v>0.795</v>
      </c>
      <c r="L44" s="5" t="n">
        <v>66048.24000000001</v>
      </c>
      <c r="M44" s="5" t="n">
        <v>17041.06</v>
      </c>
      <c r="N44" s="6">
        <f>IF(G44=0,0,L44/G44)</f>
        <v/>
      </c>
      <c r="O44" s="5">
        <f>J44-L44</f>
        <v/>
      </c>
      <c r="P44" s="4" t="inlineStr">
        <is>
          <t>Red Rock</t>
        </is>
      </c>
    </row>
    <row r="45">
      <c r="A45" s="4" t="inlineStr">
        <is>
          <t>23-PC-39135</t>
        </is>
      </c>
      <c r="B45" s="4" t="inlineStr">
        <is>
          <t>Phase I: Oak Terrace Reservoir Archaeological Testing</t>
        </is>
      </c>
      <c r="C45" s="4" t="inlineStr">
        <is>
          <t>Fixed fee</t>
        </is>
      </c>
      <c r="D45" s="4" t="inlineStr">
        <is>
          <t>In Progress</t>
        </is>
      </c>
      <c r="E45" s="4" t="inlineStr">
        <is>
          <t>Jeanette Chung</t>
        </is>
      </c>
      <c r="F45" s="5" t="n">
        <v>27800</v>
      </c>
      <c r="G45" s="5" t="n">
        <v>18214.56</v>
      </c>
      <c r="H45" s="5" t="n">
        <v>18214.56</v>
      </c>
      <c r="I45" s="5" t="n">
        <v>0</v>
      </c>
      <c r="J45" s="5" t="n">
        <v>20777.72</v>
      </c>
      <c r="K45" s="6" t="n">
        <v>0.747</v>
      </c>
      <c r="L45" s="5" t="n">
        <v>13614.39</v>
      </c>
      <c r="M45" s="5" t="n">
        <v>4600.170000000002</v>
      </c>
      <c r="N45" s="6">
        <f>IF(G45=0,0,L45/G45)</f>
        <v/>
      </c>
      <c r="O45" s="5">
        <f>J45-L45</f>
        <v/>
      </c>
      <c r="P45" s="4" t="inlineStr">
        <is>
          <t>Red Rock</t>
        </is>
      </c>
    </row>
    <row r="46">
      <c r="A46" s="4" t="inlineStr">
        <is>
          <t>23-PC-39323</t>
        </is>
      </c>
      <c r="B46" s="4" t="inlineStr">
        <is>
          <t>Silver Lake Battery Storage Class III Survey</t>
        </is>
      </c>
      <c r="C46" s="4" t="inlineStr">
        <is>
          <t>Fixed fee</t>
        </is>
      </c>
      <c r="D46" s="4" t="inlineStr">
        <is>
          <t>In Progress</t>
        </is>
      </c>
      <c r="E46" s="4" t="inlineStr">
        <is>
          <t>Tina Aguirre</t>
        </is>
      </c>
      <c r="F46" s="5" t="n">
        <v>550600</v>
      </c>
      <c r="G46" s="5" t="n">
        <v>444994.92</v>
      </c>
      <c r="H46" s="5" t="n">
        <v>444994.92</v>
      </c>
      <c r="I46" s="5" t="n">
        <v>0</v>
      </c>
      <c r="J46" s="5" t="n">
        <v>423136.1</v>
      </c>
      <c r="K46" s="6" t="n">
        <v>0.768</v>
      </c>
      <c r="L46" s="5" t="n">
        <v>341994.21</v>
      </c>
      <c r="M46" s="5" t="n">
        <v>103000.71</v>
      </c>
      <c r="N46" s="6">
        <f>IF(G46=0,0,L46/G46)</f>
        <v/>
      </c>
      <c r="O46" s="5">
        <f>J46-L46</f>
        <v/>
      </c>
      <c r="P46" s="4" t="inlineStr">
        <is>
          <t>Red Rock</t>
        </is>
      </c>
    </row>
    <row r="47">
      <c r="A47" s="4" t="inlineStr">
        <is>
          <t>23-PC-40052</t>
        </is>
      </c>
      <c r="B47" s="4" t="inlineStr">
        <is>
          <t>Oak Terrace Transmission Line Cultural Resources Monitoring</t>
        </is>
      </c>
      <c r="C47" s="4" t="inlineStr">
        <is>
          <t>Time and material</t>
        </is>
      </c>
      <c r="D47" s="4" t="inlineStr">
        <is>
          <t>In Progress</t>
        </is>
      </c>
      <c r="E47" s="4" t="inlineStr">
        <is>
          <t>Javier Newman</t>
        </is>
      </c>
      <c r="F47" s="5" t="n">
        <v>119500</v>
      </c>
      <c r="G47" s="5" t="n">
        <v>80196.45</v>
      </c>
      <c r="H47" s="5" t="n">
        <v>80196.45</v>
      </c>
      <c r="I47" s="5" t="n">
        <v>0</v>
      </c>
      <c r="J47" s="5" t="n">
        <v>103480.5</v>
      </c>
      <c r="K47" s="6" t="n">
        <v>0.866</v>
      </c>
      <c r="L47" s="5" t="n">
        <v>70430.41</v>
      </c>
      <c r="M47" s="5" t="n">
        <v>9766.039999999994</v>
      </c>
      <c r="N47" s="6">
        <f>IF(G47=0,0,L47/G47)</f>
        <v/>
      </c>
      <c r="O47" s="5">
        <f>J47-L47</f>
        <v/>
      </c>
      <c r="P47" s="4" t="inlineStr">
        <is>
          <t>Red Rock</t>
        </is>
      </c>
    </row>
    <row r="48">
      <c r="A48" s="4" t="inlineStr">
        <is>
          <t>23-PC-40402</t>
        </is>
      </c>
      <c r="B48" s="4" t="inlineStr">
        <is>
          <t>Pebble Beach Road Architectural History Survey</t>
        </is>
      </c>
      <c r="C48" s="4" t="inlineStr">
        <is>
          <t>Fixed fee</t>
        </is>
      </c>
      <c r="D48" s="4" t="inlineStr">
        <is>
          <t>In Progress</t>
        </is>
      </c>
      <c r="E48" s="4" t="inlineStr">
        <is>
          <t>Louis Huff</t>
        </is>
      </c>
      <c r="F48" s="5" t="n">
        <v>411600</v>
      </c>
      <c r="G48" s="5" t="n">
        <v>302937.6</v>
      </c>
      <c r="H48" s="5" t="n">
        <v>302937.6</v>
      </c>
      <c r="I48" s="5" t="n">
        <v>0</v>
      </c>
      <c r="J48" s="5" t="n">
        <v>333190.2</v>
      </c>
      <c r="K48" s="6" t="n">
        <v>0.8090000000000001</v>
      </c>
      <c r="L48" s="5" t="n">
        <v>245232.54</v>
      </c>
      <c r="M48" s="5" t="n">
        <v>57705.05999999997</v>
      </c>
      <c r="N48" s="6">
        <f>IF(G48=0,0,L48/G48)</f>
        <v/>
      </c>
      <c r="O48" s="5">
        <f>J48-L48</f>
        <v/>
      </c>
      <c r="P48" s="4" t="inlineStr">
        <is>
          <t>Sierra North</t>
        </is>
      </c>
    </row>
    <row r="49">
      <c r="A49" s="4" t="inlineStr">
        <is>
          <t>23-PC-40469</t>
        </is>
      </c>
      <c r="B49" s="4" t="inlineStr">
        <is>
          <t>On-Call: Badger Hollow School Campus Built Environment Survey</t>
        </is>
      </c>
      <c r="C49" s="4" t="inlineStr">
        <is>
          <t>Fixed fee</t>
        </is>
      </c>
      <c r="D49" s="4" t="inlineStr">
        <is>
          <t>In Progress</t>
        </is>
      </c>
      <c r="E49" s="4" t="inlineStr">
        <is>
          <t>Benjamin Mathis</t>
        </is>
      </c>
      <c r="F49" s="5" t="n">
        <v>53900</v>
      </c>
      <c r="G49" s="5" t="n">
        <v>40910.1</v>
      </c>
      <c r="H49" s="5" t="n">
        <v>40910.1</v>
      </c>
      <c r="I49" s="5" t="n">
        <v>0</v>
      </c>
      <c r="J49" s="5" t="n">
        <v>38516.94</v>
      </c>
      <c r="K49" s="6" t="n">
        <v>0.715</v>
      </c>
      <c r="L49" s="5" t="n">
        <v>29233.55</v>
      </c>
      <c r="M49" s="5" t="n">
        <v>11676.55</v>
      </c>
      <c r="N49" s="6">
        <f>IF(G49=0,0,L49/G49)</f>
        <v/>
      </c>
      <c r="O49" s="5">
        <f>J49-L49</f>
        <v/>
      </c>
      <c r="P49" s="4" t="inlineStr">
        <is>
          <t>Sierra South</t>
        </is>
      </c>
    </row>
    <row r="50">
      <c r="A50" s="4" t="inlineStr">
        <is>
          <t>23-PC-40537</t>
        </is>
      </c>
      <c r="B50" s="4" t="inlineStr">
        <is>
          <t>Phase I: Tamarack Airport Apron Section 106 Consultation</t>
        </is>
      </c>
      <c r="C50" s="4" t="inlineStr">
        <is>
          <t>Fixed fee</t>
        </is>
      </c>
      <c r="D50" s="4" t="inlineStr">
        <is>
          <t>Lab/Curation</t>
        </is>
      </c>
      <c r="E50" s="4" t="inlineStr">
        <is>
          <t>Louis Huff</t>
        </is>
      </c>
      <c r="F50" s="5" t="n">
        <v>76500</v>
      </c>
      <c r="G50" s="5" t="n">
        <v>58746.94</v>
      </c>
      <c r="H50" s="5" t="n">
        <v>55119.6</v>
      </c>
      <c r="I50" s="5" t="n">
        <v>3627.34</v>
      </c>
      <c r="J50" s="5" t="n">
        <v>76500</v>
      </c>
      <c r="K50" s="6" t="n">
        <v>1</v>
      </c>
      <c r="L50" s="5" t="n">
        <v>63236.56</v>
      </c>
      <c r="M50" s="5" t="n">
        <v>-4489.619999999995</v>
      </c>
      <c r="N50" s="6">
        <f>IF(G50=0,0,L50/G50)</f>
        <v/>
      </c>
      <c r="O50" s="5">
        <f>J50-L50</f>
        <v/>
      </c>
      <c r="P50" s="4" t="inlineStr">
        <is>
          <t>Sierra</t>
        </is>
      </c>
    </row>
    <row r="51">
      <c r="A51" s="4" t="inlineStr">
        <is>
          <t>23-PC-41134</t>
        </is>
      </c>
      <c r="B51" s="4" t="inlineStr">
        <is>
          <t>Creosote Draw Park Improvements Class III Survey</t>
        </is>
      </c>
      <c r="C51" s="4" t="inlineStr">
        <is>
          <t>Time and material</t>
        </is>
      </c>
      <c r="D51" s="4" t="inlineStr">
        <is>
          <t>In Progress</t>
        </is>
      </c>
      <c r="E51" s="4" t="inlineStr">
        <is>
          <t>Steve Rubio</t>
        </is>
      </c>
      <c r="F51" s="5" t="n">
        <v>56300</v>
      </c>
      <c r="G51" s="5" t="n">
        <v>42714.81</v>
      </c>
      <c r="H51" s="5" t="n">
        <v>42714.81</v>
      </c>
      <c r="I51" s="5" t="n">
        <v>0</v>
      </c>
      <c r="J51" s="5" t="n">
        <v>38284</v>
      </c>
      <c r="K51" s="6" t="n">
        <v>0.68</v>
      </c>
      <c r="L51" s="5" t="n">
        <v>47948.89</v>
      </c>
      <c r="M51" s="5" t="n">
        <v>-5234.080000000002</v>
      </c>
      <c r="N51" s="6">
        <f>IF(G51=0,0,L51/G51)</f>
        <v/>
      </c>
      <c r="O51" s="5">
        <f>J51-L51</f>
        <v/>
      </c>
      <c r="P51" s="4" t="inlineStr">
        <is>
          <t>Coastal Bend</t>
        </is>
      </c>
    </row>
    <row r="52">
      <c r="A52" s="4" t="inlineStr">
        <is>
          <t>23-PC-41207</t>
        </is>
      </c>
      <c r="B52" s="4" t="inlineStr">
        <is>
          <t>Goldfinch Maritime Remote Sensing Survey</t>
        </is>
      </c>
      <c r="C52" s="4" t="inlineStr">
        <is>
          <t>Fixed fee</t>
        </is>
      </c>
      <c r="D52" s="4" t="inlineStr">
        <is>
          <t>In Progress</t>
        </is>
      </c>
      <c r="E52" s="4" t="inlineStr">
        <is>
          <t>Jared Choi</t>
        </is>
      </c>
      <c r="F52" s="5" t="n">
        <v>33100</v>
      </c>
      <c r="G52" s="5" t="n">
        <v>29128</v>
      </c>
      <c r="H52" s="5" t="n">
        <v>29128</v>
      </c>
      <c r="I52" s="5" t="n">
        <v>0</v>
      </c>
      <c r="J52" s="5" t="n">
        <v>24874.65</v>
      </c>
      <c r="K52" s="6" t="n">
        <v>0.751</v>
      </c>
      <c r="L52" s="5" t="n">
        <v>21890.46</v>
      </c>
      <c r="M52" s="5" t="n">
        <v>7237.540000000001</v>
      </c>
      <c r="N52" s="6">
        <f>IF(G52=0,0,L52/G52)</f>
        <v/>
      </c>
      <c r="O52" s="5">
        <f>J52-L52</f>
        <v/>
      </c>
      <c r="P52" s="4" t="inlineStr">
        <is>
          <t>Coastal Bend</t>
        </is>
      </c>
    </row>
    <row r="53">
      <c r="A53" s="4" t="inlineStr">
        <is>
          <t>23-PC-41285</t>
        </is>
      </c>
      <c r="B53" s="4" t="inlineStr">
        <is>
          <t>Phase III: Ember Valley Park Improvements Data Recovery</t>
        </is>
      </c>
      <c r="C53" s="4" t="inlineStr">
        <is>
          <t>Fixed fee</t>
        </is>
      </c>
      <c r="D53" s="4" t="inlineStr">
        <is>
          <t>Cost Tracking on Closed Project</t>
        </is>
      </c>
      <c r="E53" s="4" t="inlineStr">
        <is>
          <t>Diane Daniels</t>
        </is>
      </c>
      <c r="F53" s="5" t="n">
        <v>349600</v>
      </c>
      <c r="G53" s="5" t="n">
        <v>221087.04</v>
      </c>
      <c r="H53" s="5" t="n">
        <v>221087.04</v>
      </c>
      <c r="I53" s="5" t="n">
        <v>0</v>
      </c>
      <c r="J53" s="5" t="n">
        <v>349600</v>
      </c>
      <c r="K53" s="6" t="n">
        <v>1</v>
      </c>
      <c r="L53" s="5" t="n">
        <v>229204.35</v>
      </c>
      <c r="M53" s="5" t="n">
        <v>-8117.309999999998</v>
      </c>
      <c r="N53" s="6">
        <f>IF(G53=0,0,L53/G53)</f>
        <v/>
      </c>
      <c r="O53" s="5">
        <f>J53-L53</f>
        <v/>
      </c>
      <c r="P53" s="4" t="inlineStr">
        <is>
          <t>Coastal Bend</t>
        </is>
      </c>
    </row>
    <row r="54">
      <c r="A54" s="4" t="inlineStr">
        <is>
          <t>23-PC-41424</t>
        </is>
      </c>
      <c r="B54" s="4" t="inlineStr">
        <is>
          <t>Harbor View Park Improvements - Cultural Resources Assessment</t>
        </is>
      </c>
      <c r="C54" s="4" t="inlineStr">
        <is>
          <t>Fixed fee</t>
        </is>
      </c>
      <c r="D54" s="4" t="inlineStr">
        <is>
          <t>Transferred Entity</t>
        </is>
      </c>
      <c r="E54" s="4" t="inlineStr">
        <is>
          <t>Duane Ballard</t>
        </is>
      </c>
      <c r="F54" s="5" t="n">
        <v>132000</v>
      </c>
      <c r="G54" s="5" t="n">
        <v>108108</v>
      </c>
      <c r="H54" s="5" t="n">
        <v>108108</v>
      </c>
      <c r="I54" s="5" t="n">
        <v>0</v>
      </c>
      <c r="J54" s="5" t="n">
        <v>92584.8</v>
      </c>
      <c r="K54" s="6" t="n">
        <v>0.701</v>
      </c>
      <c r="L54" s="5" t="n">
        <v>75830.35000000001</v>
      </c>
      <c r="M54" s="5" t="n">
        <v>32277.64999999999</v>
      </c>
      <c r="N54" s="6">
        <f>IF(G54=0,0,L54/G54)</f>
        <v/>
      </c>
      <c r="O54" s="5">
        <f>J54-L54</f>
        <v/>
      </c>
      <c r="P54" s="4" t="inlineStr">
        <is>
          <t>Coastal Bend</t>
        </is>
      </c>
    </row>
    <row r="55">
      <c r="A55" s="4" t="inlineStr">
        <is>
          <t>23-PC-41602</t>
        </is>
      </c>
      <c r="B55" s="4" t="inlineStr">
        <is>
          <t>Wren Hollow Cultural Resources Monitoring</t>
        </is>
      </c>
      <c r="C55" s="4" t="inlineStr">
        <is>
          <t>Fixed fee</t>
        </is>
      </c>
      <c r="D55" s="4" t="inlineStr">
        <is>
          <t>Lab/Curation</t>
        </is>
      </c>
      <c r="E55" s="4" t="inlineStr">
        <is>
          <t>Alexis Nixon</t>
        </is>
      </c>
      <c r="F55" s="5" t="n">
        <v>755000</v>
      </c>
      <c r="G55" s="5" t="n">
        <v>444695</v>
      </c>
      <c r="H55" s="5" t="n">
        <v>444695</v>
      </c>
      <c r="I55" s="5" t="n">
        <v>0</v>
      </c>
      <c r="J55" s="5" t="n">
        <v>705170</v>
      </c>
      <c r="K55" s="6" t="n">
        <v>0.9340000000000001</v>
      </c>
      <c r="L55" s="5" t="n">
        <v>415325.46</v>
      </c>
      <c r="M55" s="5" t="n">
        <v>29369.53999999998</v>
      </c>
      <c r="N55" s="6">
        <f>IF(G55=0,0,L55/G55)</f>
        <v/>
      </c>
      <c r="O55" s="5">
        <f>J55-L55</f>
        <v/>
      </c>
      <c r="P55" s="4" t="inlineStr">
        <is>
          <t>Coastal Bend</t>
        </is>
      </c>
    </row>
    <row r="56">
      <c r="A56" s="4" t="inlineStr">
        <is>
          <t>23-PC-41613</t>
        </is>
      </c>
      <c r="B56" s="4" t="inlineStr">
        <is>
          <t>Tamarack School Campus Archaeological Testing</t>
        </is>
      </c>
      <c r="C56" s="4" t="inlineStr">
        <is>
          <t>Fixed fee</t>
        </is>
      </c>
      <c r="D56" s="4" t="inlineStr">
        <is>
          <t>In Progress</t>
        </is>
      </c>
      <c r="E56" s="4" t="inlineStr">
        <is>
          <t>Steve Rubio</t>
        </is>
      </c>
      <c r="F56" s="5" t="n">
        <v>151900</v>
      </c>
      <c r="G56" s="5" t="n">
        <v>105099.61</v>
      </c>
      <c r="H56" s="5" t="n">
        <v>105099.61</v>
      </c>
      <c r="I56" s="5" t="n">
        <v>0</v>
      </c>
      <c r="J56" s="5" t="n">
        <v>128659.3</v>
      </c>
      <c r="K56" s="6" t="n">
        <v>0.847</v>
      </c>
      <c r="L56" s="5" t="n">
        <v>89014.21000000001</v>
      </c>
      <c r="M56" s="5" t="n">
        <v>16085.39999999999</v>
      </c>
      <c r="N56" s="6">
        <f>IF(G56=0,0,L56/G56)</f>
        <v/>
      </c>
      <c r="O56" s="5">
        <f>J56-L56</f>
        <v/>
      </c>
      <c r="P56" s="4" t="inlineStr">
        <is>
          <t>Coastal Bend</t>
        </is>
      </c>
    </row>
    <row r="57">
      <c r="A57" s="4" t="inlineStr">
        <is>
          <t>23-PC-41897</t>
        </is>
      </c>
      <c r="B57" s="4" t="inlineStr">
        <is>
          <t>Elk Meadow Fiber Route Archaeological Testing</t>
        </is>
      </c>
      <c r="C57" s="4" t="inlineStr">
        <is>
          <t>Time and material</t>
        </is>
      </c>
      <c r="D57" s="4" t="inlineStr">
        <is>
          <t>In Progress</t>
        </is>
      </c>
      <c r="E57" s="4" t="inlineStr">
        <is>
          <t>Jesse Maynard</t>
        </is>
      </c>
      <c r="F57" s="5" t="n">
        <v>18800</v>
      </c>
      <c r="G57" s="5" t="n">
        <v>12705.04</v>
      </c>
      <c r="H57" s="5" t="n">
        <v>12705.04</v>
      </c>
      <c r="I57" s="5" t="n">
        <v>0</v>
      </c>
      <c r="J57" s="5" t="n">
        <v>12784</v>
      </c>
      <c r="K57" s="6" t="n">
        <v>0.68</v>
      </c>
      <c r="L57" s="5" t="n">
        <v>12736.47</v>
      </c>
      <c r="M57" s="5" t="n">
        <v>-31.42999999999847</v>
      </c>
      <c r="N57" s="6">
        <f>IF(G57=0,0,L57/G57)</f>
        <v/>
      </c>
      <c r="O57" s="5">
        <f>J57-L57</f>
        <v/>
      </c>
      <c r="P57" s="4" t="inlineStr">
        <is>
          <t>Built Environment</t>
        </is>
      </c>
    </row>
    <row r="58">
      <c r="A58" s="4" t="inlineStr">
        <is>
          <t>23-PC-42771</t>
        </is>
      </c>
      <c r="B58" s="4" t="inlineStr">
        <is>
          <t>Redbud Housing Development GIS Mapping</t>
        </is>
      </c>
      <c r="C58" s="4" t="inlineStr">
        <is>
          <t>Fixed fee</t>
        </is>
      </c>
      <c r="D58" s="4" t="inlineStr">
        <is>
          <t>In Progress</t>
        </is>
      </c>
      <c r="E58" s="4" t="inlineStr">
        <is>
          <t>Kyle Maynard</t>
        </is>
      </c>
      <c r="F58" s="5" t="n">
        <v>25200</v>
      </c>
      <c r="G58" s="5" t="n">
        <v>18799.2</v>
      </c>
      <c r="H58" s="5" t="n">
        <v>18799.2</v>
      </c>
      <c r="I58" s="5" t="n">
        <v>0</v>
      </c>
      <c r="J58" s="5" t="n">
        <v>19124.28</v>
      </c>
      <c r="K58" s="6" t="n">
        <v>0.759</v>
      </c>
      <c r="L58" s="5" t="n">
        <v>14265.92</v>
      </c>
      <c r="M58" s="5" t="n">
        <v>4533.280000000001</v>
      </c>
      <c r="N58" s="6">
        <f>IF(G58=0,0,L58/G58)</f>
        <v/>
      </c>
      <c r="O58" s="5">
        <f>J58-L58</f>
        <v/>
      </c>
      <c r="P58" s="4" t="inlineStr">
        <is>
          <t>Maritime</t>
        </is>
      </c>
    </row>
    <row r="59">
      <c r="A59" s="4" t="inlineStr">
        <is>
          <t>23-PC-42981</t>
        </is>
      </c>
      <c r="B59" s="4" t="inlineStr">
        <is>
          <t>Hawk Point Architectural History Survey</t>
        </is>
      </c>
      <c r="C59" s="4" t="inlineStr">
        <is>
          <t>Fixed fee</t>
        </is>
      </c>
      <c r="D59" s="4" t="inlineStr">
        <is>
          <t>In Progress</t>
        </is>
      </c>
      <c r="E59" s="4" t="inlineStr">
        <is>
          <t>Kyle Maynard</t>
        </is>
      </c>
      <c r="F59" s="5" t="n">
        <v>175800</v>
      </c>
      <c r="G59" s="5" t="n">
        <v>129494.28</v>
      </c>
      <c r="H59" s="5" t="n">
        <v>129494.28</v>
      </c>
      <c r="I59" s="5" t="n">
        <v>0</v>
      </c>
      <c r="J59" s="5" t="n">
        <v>133203.66</v>
      </c>
      <c r="K59" s="6" t="n">
        <v>0.758</v>
      </c>
      <c r="L59" s="5" t="n">
        <v>98123.53999999999</v>
      </c>
      <c r="M59" s="5" t="n">
        <v>31370.74000000001</v>
      </c>
      <c r="N59" s="6">
        <f>IF(G59=0,0,L59/G59)</f>
        <v/>
      </c>
      <c r="O59" s="5">
        <f>J59-L59</f>
        <v/>
      </c>
      <c r="P59" s="4" t="inlineStr">
        <is>
          <t>Maritime</t>
        </is>
      </c>
    </row>
    <row r="60">
      <c r="A60" s="4" t="inlineStr">
        <is>
          <t>23-PC-43008</t>
        </is>
      </c>
      <c r="B60" s="4" t="inlineStr">
        <is>
          <t>Sea Oat Mixed-Use Development - Cultural Resources Monitoring</t>
        </is>
      </c>
      <c r="C60" s="4" t="inlineStr">
        <is>
          <t>Time and material</t>
        </is>
      </c>
      <c r="D60" s="4" t="inlineStr">
        <is>
          <t>In Progress</t>
        </is>
      </c>
      <c r="E60" s="4" t="inlineStr">
        <is>
          <t>Rita Ayala</t>
        </is>
      </c>
      <c r="F60" s="5" t="n">
        <v>139700</v>
      </c>
      <c r="G60" s="5" t="n">
        <v>93543.12</v>
      </c>
      <c r="H60" s="5" t="n">
        <v>93543.12</v>
      </c>
      <c r="I60" s="5" t="n">
        <v>0</v>
      </c>
      <c r="J60" s="5" t="n">
        <v>94996</v>
      </c>
      <c r="K60" s="6" t="n">
        <v>0.68</v>
      </c>
      <c r="L60" s="5" t="n">
        <v>67047.92999999999</v>
      </c>
      <c r="M60" s="5" t="n">
        <v>26495.19</v>
      </c>
      <c r="N60" s="6">
        <f>IF(G60=0,0,L60/G60)</f>
        <v/>
      </c>
      <c r="O60" s="5">
        <f>J60-L60</f>
        <v/>
      </c>
      <c r="P60" s="4" t="inlineStr">
        <is>
          <t>Maritime</t>
        </is>
      </c>
    </row>
    <row r="61">
      <c r="A61" s="4" t="inlineStr">
        <is>
          <t>23-PC-43158</t>
        </is>
      </c>
      <c r="B61" s="4" t="inlineStr">
        <is>
          <t>Twin Buttes Wind Farm - Archaeological Testing</t>
        </is>
      </c>
      <c r="C61" s="4" t="inlineStr">
        <is>
          <t>Fixed fee</t>
        </is>
      </c>
      <c r="D61" s="4" t="inlineStr">
        <is>
          <t>In Progress</t>
        </is>
      </c>
      <c r="E61" s="4" t="inlineStr">
        <is>
          <t>Priscilla Pennington</t>
        </is>
      </c>
      <c r="F61" s="5" t="n">
        <v>73300</v>
      </c>
      <c r="G61" s="5" t="n">
        <v>53362.4</v>
      </c>
      <c r="H61" s="5" t="n">
        <v>53362.4</v>
      </c>
      <c r="I61" s="5" t="n">
        <v>0</v>
      </c>
      <c r="J61" s="5" t="n">
        <v>66563.73</v>
      </c>
      <c r="K61" s="6" t="n">
        <v>0.908</v>
      </c>
      <c r="L61" s="5" t="n">
        <v>48458.95</v>
      </c>
      <c r="M61" s="5" t="n">
        <v>4903.450000000004</v>
      </c>
      <c r="N61" s="6">
        <f>IF(G61=0,0,L61/G61)</f>
        <v/>
      </c>
      <c r="O61" s="5">
        <f>J61-L61</f>
        <v/>
      </c>
      <c r="P61" s="4" t="inlineStr">
        <is>
          <t>Geospatial</t>
        </is>
      </c>
    </row>
    <row r="62">
      <c r="A62" s="4" t="inlineStr">
        <is>
          <t>23-PC-43692</t>
        </is>
      </c>
      <c r="B62" s="4" t="inlineStr">
        <is>
          <t>Riverbend Levee Repair - Cultural Resources Monitoring</t>
        </is>
      </c>
      <c r="C62" s="4" t="inlineStr">
        <is>
          <t>Fixed fee</t>
        </is>
      </c>
      <c r="D62" s="4" t="inlineStr">
        <is>
          <t>In Progress</t>
        </is>
      </c>
      <c r="E62" s="4" t="inlineStr">
        <is>
          <t>Lynn Tran</t>
        </is>
      </c>
      <c r="F62" s="5" t="n">
        <v>112600</v>
      </c>
      <c r="G62" s="5" t="n">
        <v>77637.7</v>
      </c>
      <c r="H62" s="5" t="n">
        <v>77637.7</v>
      </c>
      <c r="I62" s="5" t="n">
        <v>0</v>
      </c>
      <c r="J62" s="5" t="n">
        <v>91374.89999999999</v>
      </c>
      <c r="K62" s="6" t="n">
        <v>0.8110000000000001</v>
      </c>
      <c r="L62" s="5" t="n">
        <v>63002.79</v>
      </c>
      <c r="M62" s="5" t="n">
        <v>14634.91</v>
      </c>
      <c r="N62" s="6">
        <f>IF(G62=0,0,L62/G62)</f>
        <v/>
      </c>
      <c r="O62" s="5">
        <f>J62-L62</f>
        <v/>
      </c>
      <c r="P62" s="4" t="inlineStr">
        <is>
          <t>Meridian Southwest</t>
        </is>
      </c>
    </row>
    <row r="63">
      <c r="A63" s="4" t="inlineStr">
        <is>
          <t>24-PC-30233</t>
        </is>
      </c>
      <c r="B63" s="4" t="inlineStr">
        <is>
          <t>Bramble Creek Mine Expansion Phase I Survey</t>
        </is>
      </c>
      <c r="C63" s="4" t="inlineStr">
        <is>
          <t>Fixed fee</t>
        </is>
      </c>
      <c r="D63" s="4" t="inlineStr">
        <is>
          <t>In Progress</t>
        </is>
      </c>
      <c r="E63" s="4" t="inlineStr">
        <is>
          <t>Javier Estrada</t>
        </is>
      </c>
      <c r="F63" s="5" t="n">
        <v>93300</v>
      </c>
      <c r="G63" s="5" t="n">
        <v>59544.06</v>
      </c>
      <c r="H63" s="5" t="n">
        <v>59544.06</v>
      </c>
      <c r="I63" s="5" t="n">
        <v>0</v>
      </c>
      <c r="J63" s="5" t="n">
        <v>93300</v>
      </c>
      <c r="K63" s="6" t="n">
        <v>1</v>
      </c>
      <c r="L63" s="5" t="n">
        <v>93708.96000000001</v>
      </c>
      <c r="M63" s="5" t="n">
        <v>-34164.90000000001</v>
      </c>
      <c r="N63" s="6">
        <f>IF(G63=0,0,L63/G63)</f>
        <v/>
      </c>
      <c r="O63" s="5">
        <f>J63-L63</f>
        <v/>
      </c>
      <c r="P63" s="4" t="inlineStr">
        <is>
          <t>Big Sky</t>
        </is>
      </c>
    </row>
    <row r="64">
      <c r="A64" s="4" t="inlineStr">
        <is>
          <t>24-PC-30679</t>
        </is>
      </c>
      <c r="B64" s="4" t="inlineStr">
        <is>
          <t>Kestrel Butte Maritime Remote Sensing Survey</t>
        </is>
      </c>
      <c r="C64" s="4" t="inlineStr">
        <is>
          <t>Fixed fee</t>
        </is>
      </c>
      <c r="D64" s="4" t="inlineStr">
        <is>
          <t>In Progress</t>
        </is>
      </c>
      <c r="E64" s="4" t="inlineStr">
        <is>
          <t>Kiara Gillespie</t>
        </is>
      </c>
      <c r="F64" s="5" t="n">
        <v>60600</v>
      </c>
      <c r="G64" s="5" t="n">
        <v>45577.26</v>
      </c>
      <c r="H64" s="5" t="n">
        <v>45577.26</v>
      </c>
      <c r="I64" s="5" t="n">
        <v>0</v>
      </c>
      <c r="J64" s="5" t="n">
        <v>60600</v>
      </c>
      <c r="K64" s="6" t="n">
        <v>1</v>
      </c>
      <c r="L64" s="5" t="n">
        <v>50596.88</v>
      </c>
      <c r="M64" s="5" t="n">
        <v>-5019.619999999995</v>
      </c>
      <c r="N64" s="6">
        <f>IF(G64=0,0,L64/G64)</f>
        <v/>
      </c>
      <c r="O64" s="5">
        <f>J64-L64</f>
        <v/>
      </c>
      <c r="P64" s="4" t="inlineStr">
        <is>
          <t>Bluegrass</t>
        </is>
      </c>
    </row>
    <row r="65">
      <c r="A65" s="4" t="inlineStr">
        <is>
          <t>24-PC-31282</t>
        </is>
      </c>
      <c r="B65" s="4" t="inlineStr">
        <is>
          <t>Phase III: Timber Gap Mixed-Use Development GIS Mapping</t>
        </is>
      </c>
      <c r="C65" s="4" t="inlineStr">
        <is>
          <t>Time and material</t>
        </is>
      </c>
      <c r="D65" s="4" t="inlineStr">
        <is>
          <t>Cost Tracking on Closed Project</t>
        </is>
      </c>
      <c r="E65" s="4" t="inlineStr">
        <is>
          <t>Preston Duarte</t>
        </is>
      </c>
      <c r="F65" s="5" t="n">
        <v>94000</v>
      </c>
      <c r="G65" s="5" t="n">
        <v>65640.2</v>
      </c>
      <c r="H65" s="5" t="n">
        <v>65640.2</v>
      </c>
      <c r="I65" s="5" t="n">
        <v>0</v>
      </c>
      <c r="J65" s="5" t="n">
        <v>63920</v>
      </c>
      <c r="K65" s="6" t="n">
        <v>0.68</v>
      </c>
      <c r="L65" s="5" t="n">
        <v>73270.02</v>
      </c>
      <c r="M65" s="5" t="n">
        <v>-7629.820000000007</v>
      </c>
      <c r="N65" s="6">
        <f>IF(G65=0,0,L65/G65)</f>
        <v/>
      </c>
      <c r="O65" s="5">
        <f>J65-L65</f>
        <v/>
      </c>
      <c r="P65" s="4" t="inlineStr">
        <is>
          <t>Cascade</t>
        </is>
      </c>
    </row>
    <row r="66">
      <c r="A66" s="4" t="inlineStr">
        <is>
          <t>24-PC-31434</t>
        </is>
      </c>
      <c r="B66" s="4" t="inlineStr">
        <is>
          <t>Pebble Beach Road Cultural Resources Assessment</t>
        </is>
      </c>
      <c r="C66" s="4" t="inlineStr">
        <is>
          <t>Fixed fee</t>
        </is>
      </c>
      <c r="D66" s="4" t="inlineStr">
        <is>
          <t>In Progress</t>
        </is>
      </c>
      <c r="E66" s="4" t="inlineStr">
        <is>
          <t>Jean Cooke</t>
        </is>
      </c>
      <c r="F66" s="5" t="n">
        <v>18200</v>
      </c>
      <c r="G66" s="5" t="n">
        <v>12417.86</v>
      </c>
      <c r="H66" s="5" t="n">
        <v>12417.86</v>
      </c>
      <c r="I66" s="5" t="n">
        <v>0</v>
      </c>
      <c r="J66" s="5" t="n">
        <v>13335.14</v>
      </c>
      <c r="K66" s="6" t="n">
        <v>0.733</v>
      </c>
      <c r="L66" s="5" t="n">
        <v>9098.08</v>
      </c>
      <c r="M66" s="5" t="n">
        <v>3319.780000000001</v>
      </c>
      <c r="N66" s="6">
        <f>IF(G66=0,0,L66/G66)</f>
        <v/>
      </c>
      <c r="O66" s="5">
        <f>J66-L66</f>
        <v/>
      </c>
      <c r="P66" s="4" t="inlineStr">
        <is>
          <t>Cascade</t>
        </is>
      </c>
    </row>
    <row r="67">
      <c r="A67" s="4" t="inlineStr">
        <is>
          <t>24-PC-31453</t>
        </is>
      </c>
      <c r="B67" s="4" t="inlineStr">
        <is>
          <t>Timber Gap Cell Tower Paleontological Monitoring</t>
        </is>
      </c>
      <c r="C67" s="4" t="inlineStr">
        <is>
          <t>Time and material</t>
        </is>
      </c>
      <c r="D67" s="4" t="inlineStr">
        <is>
          <t>In Progress</t>
        </is>
      </c>
      <c r="E67" s="4" t="inlineStr">
        <is>
          <t>Gene Nixon</t>
        </is>
      </c>
      <c r="F67" s="5" t="n">
        <v>18300</v>
      </c>
      <c r="G67" s="5" t="n">
        <v>11931.6</v>
      </c>
      <c r="H67" s="5" t="n">
        <v>11931.6</v>
      </c>
      <c r="I67" s="5" t="n">
        <v>0</v>
      </c>
      <c r="J67" s="5" t="n">
        <v>12444</v>
      </c>
      <c r="K67" s="6" t="n">
        <v>0.68</v>
      </c>
      <c r="L67" s="5" t="n">
        <v>9112.040000000001</v>
      </c>
      <c r="M67" s="5" t="n">
        <v>2819.559999999999</v>
      </c>
      <c r="N67" s="6">
        <f>IF(G67=0,0,L67/G67)</f>
        <v/>
      </c>
      <c r="O67" s="5">
        <f>J67-L67</f>
        <v/>
      </c>
      <c r="P67" s="4" t="inlineStr">
        <is>
          <t>Cascade</t>
        </is>
      </c>
    </row>
    <row r="68">
      <c r="A68" s="4" t="inlineStr">
        <is>
          <t>24-PC-31503</t>
        </is>
      </c>
      <c r="B68" s="4" t="inlineStr">
        <is>
          <t>North Fork Wind Farm Curation</t>
        </is>
      </c>
      <c r="C68" s="4" t="inlineStr">
        <is>
          <t>Time and material</t>
        </is>
      </c>
      <c r="D68" s="4" t="inlineStr">
        <is>
          <t>Lab/Curation</t>
        </is>
      </c>
      <c r="E68" s="4" t="inlineStr">
        <is>
          <t>Preston Duarte</t>
        </is>
      </c>
      <c r="F68" s="5" t="n">
        <v>129900</v>
      </c>
      <c r="G68" s="5" t="n">
        <v>87825.39</v>
      </c>
      <c r="H68" s="5" t="n">
        <v>87825.39</v>
      </c>
      <c r="I68" s="5" t="n">
        <v>0</v>
      </c>
      <c r="J68" s="5" t="n">
        <v>88332</v>
      </c>
      <c r="K68" s="6" t="n">
        <v>0.68</v>
      </c>
      <c r="L68" s="5" t="n">
        <v>98773.25999999999</v>
      </c>
      <c r="M68" s="5" t="n">
        <v>-10947.87</v>
      </c>
      <c r="N68" s="6">
        <f>IF(G68=0,0,L68/G68)</f>
        <v/>
      </c>
      <c r="O68" s="5">
        <f>J68-L68</f>
        <v/>
      </c>
      <c r="P68" s="4" t="inlineStr">
        <is>
          <t>Cascade</t>
        </is>
      </c>
    </row>
    <row r="69">
      <c r="A69" s="4" t="inlineStr">
        <is>
          <t>24-PC-31663</t>
        </is>
      </c>
      <c r="B69" s="4" t="inlineStr">
        <is>
          <t>Fern Valley Section 106 Consultation</t>
        </is>
      </c>
      <c r="C69" s="4" t="inlineStr">
        <is>
          <t>Fixed fee</t>
        </is>
      </c>
      <c r="D69" s="4" t="inlineStr">
        <is>
          <t>In Progress</t>
        </is>
      </c>
      <c r="E69" s="4" t="inlineStr">
        <is>
          <t>Jean Cooke</t>
        </is>
      </c>
      <c r="F69" s="5" t="n">
        <v>52600</v>
      </c>
      <c r="G69" s="5" t="n">
        <v>37714.2</v>
      </c>
      <c r="H69" s="5" t="n">
        <v>37714.2</v>
      </c>
      <c r="I69" s="5" t="n">
        <v>0</v>
      </c>
      <c r="J69" s="5" t="n">
        <v>43847.36</v>
      </c>
      <c r="K69" s="6" t="n">
        <v>0.834</v>
      </c>
      <c r="L69" s="5" t="n">
        <v>31436.99</v>
      </c>
      <c r="M69" s="5" t="n">
        <v>6277.209999999995</v>
      </c>
      <c r="N69" s="6">
        <f>IF(G69=0,0,L69/G69)</f>
        <v/>
      </c>
      <c r="O69" s="5">
        <f>J69-L69</f>
        <v/>
      </c>
      <c r="P69" s="4" t="inlineStr">
        <is>
          <t>Cascade</t>
        </is>
      </c>
    </row>
    <row r="70">
      <c r="A70" s="4" t="inlineStr">
        <is>
          <t>24-PC-31857</t>
        </is>
      </c>
      <c r="B70" s="4" t="inlineStr">
        <is>
          <t>Falcon Mesa Airport Apron Environmental Review Support</t>
        </is>
      </c>
      <c r="C70" s="4" t="inlineStr">
        <is>
          <t>Time and material</t>
        </is>
      </c>
      <c r="D70" s="4" t="inlineStr">
        <is>
          <t>In Progress</t>
        </is>
      </c>
      <c r="E70" s="4" t="inlineStr">
        <is>
          <t>Gene Nixon</t>
        </is>
      </c>
      <c r="F70" s="5" t="n">
        <v>15200</v>
      </c>
      <c r="G70" s="5" t="n">
        <v>10676.48</v>
      </c>
      <c r="H70" s="5" t="n">
        <v>10676.48</v>
      </c>
      <c r="I70" s="5" t="n">
        <v>0</v>
      </c>
      <c r="J70" s="5" t="n">
        <v>10871.15</v>
      </c>
      <c r="K70" s="6" t="n">
        <v>0.715</v>
      </c>
      <c r="L70" s="5" t="n">
        <v>7665.21</v>
      </c>
      <c r="M70" s="5" t="n">
        <v>3011.27</v>
      </c>
      <c r="N70" s="6">
        <f>IF(G70=0,0,L70/G70)</f>
        <v/>
      </c>
      <c r="O70" s="5">
        <f>J70-L70</f>
        <v/>
      </c>
      <c r="P70" s="4" t="inlineStr">
        <is>
          <t>Cascade</t>
        </is>
      </c>
    </row>
    <row r="71">
      <c r="A71" s="4" t="inlineStr">
        <is>
          <t>24-PC-32201</t>
        </is>
      </c>
      <c r="B71" s="4" t="inlineStr">
        <is>
          <t>Task Order 14: Hawk Point Harbor Dredging Maritime Remote Sensing Survey</t>
        </is>
      </c>
      <c r="C71" s="4" t="inlineStr">
        <is>
          <t>Fixed fee</t>
        </is>
      </c>
      <c r="D71" s="4" t="inlineStr">
        <is>
          <t>In Progress</t>
        </is>
      </c>
      <c r="E71" s="4" t="inlineStr">
        <is>
          <t>Jason Oconnor</t>
        </is>
      </c>
      <c r="F71" s="5" t="n">
        <v>51800</v>
      </c>
      <c r="G71" s="5" t="n">
        <v>36731.38</v>
      </c>
      <c r="H71" s="5" t="n">
        <v>36731.38</v>
      </c>
      <c r="I71" s="5" t="n">
        <v>0</v>
      </c>
      <c r="J71" s="5" t="n">
        <v>51800</v>
      </c>
      <c r="K71" s="6" t="n">
        <v>1</v>
      </c>
      <c r="L71" s="5" t="n">
        <v>59530.75</v>
      </c>
      <c r="M71" s="5" t="n">
        <v>-22799.37</v>
      </c>
      <c r="N71" s="6">
        <f>IF(G71=0,0,L71/G71)</f>
        <v/>
      </c>
      <c r="O71" s="5">
        <f>J71-L71</f>
        <v/>
      </c>
      <c r="P71" s="4" t="inlineStr">
        <is>
          <t>Chesapeake</t>
        </is>
      </c>
    </row>
    <row r="72">
      <c r="A72" s="4" t="inlineStr">
        <is>
          <t>24-PC-32647</t>
        </is>
      </c>
      <c r="B72" s="4" t="inlineStr">
        <is>
          <t>On-Call: Granite Pass Substation Cultural Resources Monitoring</t>
        </is>
      </c>
      <c r="C72" s="4" t="inlineStr">
        <is>
          <t>Fixed fee</t>
        </is>
      </c>
      <c r="D72" s="4" t="inlineStr">
        <is>
          <t>Final Reporting/Review</t>
        </is>
      </c>
      <c r="E72" s="4" t="inlineStr">
        <is>
          <t>Alexandria Wilkinson</t>
        </is>
      </c>
      <c r="F72" s="5" t="n">
        <v>84000</v>
      </c>
      <c r="G72" s="5" t="n">
        <v>70198.8</v>
      </c>
      <c r="H72" s="5" t="n">
        <v>70198.8</v>
      </c>
      <c r="I72" s="5" t="n">
        <v>0</v>
      </c>
      <c r="J72" s="5" t="n">
        <v>84000</v>
      </c>
      <c r="K72" s="6" t="n">
        <v>1</v>
      </c>
      <c r="L72" s="5" t="n">
        <v>85361.67</v>
      </c>
      <c r="M72" s="5" t="n">
        <v>-15162.87</v>
      </c>
      <c r="N72" s="6">
        <f>IF(G72=0,0,L72/G72)</f>
        <v/>
      </c>
      <c r="O72" s="5">
        <f>J72-L72</f>
        <v/>
      </c>
      <c r="P72" s="4" t="inlineStr">
        <is>
          <t>Chesapeake</t>
        </is>
      </c>
    </row>
    <row r="73">
      <c r="A73" s="4" t="inlineStr">
        <is>
          <t>24-PC-32688</t>
        </is>
      </c>
      <c r="B73" s="4" t="inlineStr">
        <is>
          <t>Phase II: Tamarack Reservoir Paleontological Monitoring</t>
        </is>
      </c>
      <c r="C73" s="4" t="inlineStr">
        <is>
          <t>Fixed fee</t>
        </is>
      </c>
      <c r="D73" s="4" t="inlineStr">
        <is>
          <t>In Progress</t>
        </is>
      </c>
      <c r="E73" s="4" t="inlineStr">
        <is>
          <t>Ian Maddox</t>
        </is>
      </c>
      <c r="F73" s="5" t="n">
        <v>51700</v>
      </c>
      <c r="G73" s="5" t="n">
        <v>45206.48</v>
      </c>
      <c r="H73" s="5" t="n">
        <v>45206.48</v>
      </c>
      <c r="I73" s="5" t="n">
        <v>0</v>
      </c>
      <c r="J73" s="5" t="n">
        <v>44730.84</v>
      </c>
      <c r="K73" s="6" t="n">
        <v>0.865</v>
      </c>
      <c r="L73" s="5" t="n">
        <v>39111.36</v>
      </c>
      <c r="M73" s="5" t="n">
        <v>6095.120000000003</v>
      </c>
      <c r="N73" s="6">
        <f>IF(G73=0,0,L73/G73)</f>
        <v/>
      </c>
      <c r="O73" s="5">
        <f>J73-L73</f>
        <v/>
      </c>
      <c r="P73" s="4" t="inlineStr">
        <is>
          <t>Chesapeake</t>
        </is>
      </c>
    </row>
    <row r="74">
      <c r="A74" s="4" t="inlineStr">
        <is>
          <t>24-PC-33448</t>
        </is>
      </c>
      <c r="B74" s="4" t="inlineStr">
        <is>
          <t>Ember Valley Solar Architectural History Survey</t>
        </is>
      </c>
      <c r="C74" s="4" t="inlineStr">
        <is>
          <t>Fixed fee</t>
        </is>
      </c>
      <c r="D74" s="4" t="inlineStr">
        <is>
          <t>In Progress</t>
        </is>
      </c>
      <c r="E74" s="4" t="inlineStr">
        <is>
          <t>Devon Pitts</t>
        </is>
      </c>
      <c r="F74" s="5" t="n">
        <v>681000</v>
      </c>
      <c r="G74" s="5" t="n">
        <v>419972.7</v>
      </c>
      <c r="H74" s="5" t="n">
        <v>419972.7</v>
      </c>
      <c r="I74" s="5" t="n">
        <v>0</v>
      </c>
      <c r="J74" s="5" t="n">
        <v>563868</v>
      </c>
      <c r="K74" s="6" t="n">
        <v>0.828</v>
      </c>
      <c r="L74" s="5" t="n">
        <v>347755.54</v>
      </c>
      <c r="M74" s="5" t="n">
        <v>72217.16000000003</v>
      </c>
      <c r="N74" s="6">
        <f>IF(G74=0,0,L74/G74)</f>
        <v/>
      </c>
      <c r="O74" s="5">
        <f>J74-L74</f>
        <v/>
      </c>
      <c r="P74" s="4" t="inlineStr">
        <is>
          <t>Front Range</t>
        </is>
      </c>
    </row>
    <row r="75">
      <c r="A75" s="4" t="inlineStr">
        <is>
          <t>24-PC-33822</t>
        </is>
      </c>
      <c r="B75" s="4" t="inlineStr">
        <is>
          <t>Task Order 36: Windmill Flat School Campus Cultural Resources Monitoring</t>
        </is>
      </c>
      <c r="C75" s="4" t="inlineStr">
        <is>
          <t>Fixed fee</t>
        </is>
      </c>
      <c r="D75" s="4" t="inlineStr">
        <is>
          <t>In Progress</t>
        </is>
      </c>
      <c r="E75" s="4" t="inlineStr">
        <is>
          <t>Karl Valenzuela</t>
        </is>
      </c>
      <c r="F75" s="5" t="n">
        <v>64500</v>
      </c>
      <c r="G75" s="5" t="n">
        <v>49568.25</v>
      </c>
      <c r="H75" s="5" t="n">
        <v>49568.25</v>
      </c>
      <c r="I75" s="5" t="n">
        <v>0</v>
      </c>
      <c r="J75" s="5" t="n">
        <v>59346.45</v>
      </c>
      <c r="K75" s="6" t="n">
        <v>0.92</v>
      </c>
      <c r="L75" s="5" t="n">
        <v>45606.09</v>
      </c>
      <c r="M75" s="5" t="n">
        <v>3962.160000000003</v>
      </c>
      <c r="N75" s="6">
        <f>IF(G75=0,0,L75/G75)</f>
        <v/>
      </c>
      <c r="O75" s="5">
        <f>J75-L75</f>
        <v/>
      </c>
      <c r="P75" s="4" t="inlineStr">
        <is>
          <t>Great Lakes</t>
        </is>
      </c>
    </row>
    <row r="76">
      <c r="A76" s="4" t="inlineStr">
        <is>
          <t>24-PC-33985</t>
        </is>
      </c>
      <c r="B76" s="4" t="inlineStr">
        <is>
          <t>Thistle Down Substation Curation</t>
        </is>
      </c>
      <c r="C76" s="4" t="inlineStr">
        <is>
          <t>Time and material</t>
        </is>
      </c>
      <c r="D76" s="4" t="inlineStr">
        <is>
          <t>In Progress</t>
        </is>
      </c>
      <c r="E76" s="4" t="inlineStr">
        <is>
          <t>Angelica Cervantes</t>
        </is>
      </c>
      <c r="F76" s="5" t="n">
        <v>78300</v>
      </c>
      <c r="G76" s="5" t="n">
        <v>57863.7</v>
      </c>
      <c r="H76" s="5" t="n">
        <v>57863.7</v>
      </c>
      <c r="I76" s="5" t="n">
        <v>0</v>
      </c>
      <c r="J76" s="5" t="n">
        <v>53244</v>
      </c>
      <c r="K76" s="6" t="n">
        <v>0.68</v>
      </c>
      <c r="L76" s="5" t="n">
        <v>50630.38</v>
      </c>
      <c r="M76" s="5" t="n">
        <v>7233.32</v>
      </c>
      <c r="N76" s="6">
        <f>IF(G76=0,0,L76/G76)</f>
        <v/>
      </c>
      <c r="O76" s="5">
        <f>J76-L76</f>
        <v/>
      </c>
      <c r="P76" s="4" t="inlineStr">
        <is>
          <t>Great Lakes</t>
        </is>
      </c>
    </row>
    <row r="77">
      <c r="A77" s="4" t="inlineStr">
        <is>
          <t>24-PC-34330</t>
        </is>
      </c>
      <c r="B77" s="4" t="inlineStr">
        <is>
          <t>On-Call: Harbor View Highway Widening Historic Resources Evaluation</t>
        </is>
      </c>
      <c r="C77" s="4" t="inlineStr">
        <is>
          <t>Time and material</t>
        </is>
      </c>
      <c r="D77" s="4" t="inlineStr">
        <is>
          <t>In Progress</t>
        </is>
      </c>
      <c r="E77" s="4" t="inlineStr">
        <is>
          <t>Karl Valenzuela</t>
        </is>
      </c>
      <c r="F77" s="5" t="n">
        <v>38700</v>
      </c>
      <c r="G77" s="5" t="n">
        <v>26644.95</v>
      </c>
      <c r="H77" s="5" t="n">
        <v>26644.95</v>
      </c>
      <c r="I77" s="5" t="n">
        <v>0</v>
      </c>
      <c r="J77" s="5" t="n">
        <v>26316</v>
      </c>
      <c r="K77" s="6" t="n">
        <v>0.68</v>
      </c>
      <c r="L77" s="5" t="n">
        <v>19241.81</v>
      </c>
      <c r="M77" s="5" t="n">
        <v>7403.139999999999</v>
      </c>
      <c r="N77" s="6">
        <f>IF(G77=0,0,L77/G77)</f>
        <v/>
      </c>
      <c r="O77" s="5">
        <f>J77-L77</f>
        <v/>
      </c>
      <c r="P77" s="4" t="inlineStr">
        <is>
          <t>Great Lakes</t>
        </is>
      </c>
    </row>
    <row r="78">
      <c r="A78" s="4" t="inlineStr">
        <is>
          <t>24-PC-34663</t>
        </is>
      </c>
      <c r="B78" s="4" t="inlineStr">
        <is>
          <t>Redbud Airport Apron - GIS Mapping</t>
        </is>
      </c>
      <c r="C78" s="4" t="inlineStr">
        <is>
          <t>Time and material</t>
        </is>
      </c>
      <c r="D78" s="4" t="inlineStr">
        <is>
          <t>In Progress</t>
        </is>
      </c>
      <c r="E78" s="4" t="inlineStr">
        <is>
          <t>Kathleen Galvan</t>
        </is>
      </c>
      <c r="F78" s="5" t="n">
        <v>505100</v>
      </c>
      <c r="G78" s="5" t="n">
        <v>342760.86</v>
      </c>
      <c r="H78" s="5" t="n">
        <v>342760.86</v>
      </c>
      <c r="I78" s="5" t="n">
        <v>0</v>
      </c>
      <c r="J78" s="5" t="n">
        <v>343468</v>
      </c>
      <c r="K78" s="6" t="n">
        <v>0.68</v>
      </c>
      <c r="L78" s="5" t="n">
        <v>286062.16</v>
      </c>
      <c r="M78" s="5" t="n">
        <v>56698.70000000001</v>
      </c>
      <c r="N78" s="6">
        <f>IF(G78=0,0,L78/G78)</f>
        <v/>
      </c>
      <c r="O78" s="5">
        <f>J78-L78</f>
        <v/>
      </c>
      <c r="P78" s="4" t="inlineStr">
        <is>
          <t>Great Lakes</t>
        </is>
      </c>
    </row>
    <row r="79">
      <c r="A79" s="4" t="inlineStr">
        <is>
          <t>24-PC-34803</t>
        </is>
      </c>
      <c r="B79" s="4" t="inlineStr">
        <is>
          <t>Cedar Hollow Highway Widening - Section 106 Consultation</t>
        </is>
      </c>
      <c r="C79" s="4" t="inlineStr">
        <is>
          <t>Time and material</t>
        </is>
      </c>
      <c r="D79" s="4" t="inlineStr">
        <is>
          <t>In Progress</t>
        </is>
      </c>
      <c r="E79" s="4" t="inlineStr">
        <is>
          <t>Courtney Daugherty</t>
        </is>
      </c>
      <c r="F79" s="5" t="n">
        <v>176500</v>
      </c>
      <c r="G79" s="5" t="n">
        <v>121414.35</v>
      </c>
      <c r="H79" s="5" t="n">
        <v>121414.35</v>
      </c>
      <c r="I79" s="5" t="n">
        <v>0</v>
      </c>
      <c r="J79" s="5" t="n">
        <v>120020</v>
      </c>
      <c r="K79" s="6" t="n">
        <v>0.68</v>
      </c>
      <c r="L79" s="5" t="n">
        <v>122080.25</v>
      </c>
      <c r="M79" s="5" t="n">
        <v>-665.8999999999942</v>
      </c>
      <c r="N79" s="6">
        <f>IF(G79=0,0,L79/G79)</f>
        <v/>
      </c>
      <c r="O79" s="5">
        <f>J79-L79</f>
        <v/>
      </c>
      <c r="P79" s="4" t="inlineStr">
        <is>
          <t>Gulf Coast</t>
        </is>
      </c>
    </row>
    <row r="80">
      <c r="A80" s="4" t="inlineStr">
        <is>
          <t>24-PC-34975</t>
        </is>
      </c>
      <c r="B80" s="4" t="inlineStr">
        <is>
          <t>Foxglove Fiber Route GIS Mapping</t>
        </is>
      </c>
      <c r="C80" s="4" t="inlineStr">
        <is>
          <t>Fixed fee</t>
        </is>
      </c>
      <c r="D80" s="4" t="inlineStr">
        <is>
          <t>In Progress</t>
        </is>
      </c>
      <c r="E80" s="4" t="inlineStr">
        <is>
          <t>Bernard Erickson</t>
        </is>
      </c>
      <c r="F80" s="5" t="n">
        <v>205900</v>
      </c>
      <c r="G80" s="5" t="n">
        <v>181192</v>
      </c>
      <c r="H80" s="5" t="n">
        <v>181192</v>
      </c>
      <c r="I80" s="5" t="n">
        <v>0</v>
      </c>
      <c r="J80" s="5" t="n">
        <v>175159.13</v>
      </c>
      <c r="K80" s="6" t="n">
        <v>0.851</v>
      </c>
      <c r="L80" s="5" t="n">
        <v>154132.44</v>
      </c>
      <c r="M80" s="5" t="n">
        <v>27059.56</v>
      </c>
      <c r="N80" s="6">
        <f>IF(G80=0,0,L80/G80)</f>
        <v/>
      </c>
      <c r="O80" s="5">
        <f>J80-L80</f>
        <v/>
      </c>
      <c r="P80" s="4" t="inlineStr">
        <is>
          <t>Gulf Coast West</t>
        </is>
      </c>
    </row>
    <row r="81">
      <c r="A81" s="4" t="inlineStr">
        <is>
          <t>24-PC-35412</t>
        </is>
      </c>
      <c r="B81" s="4" t="inlineStr">
        <is>
          <t>Sumac Ridge Reservoir - Historic Resources Evaluation</t>
        </is>
      </c>
      <c r="C81" s="4" t="inlineStr">
        <is>
          <t>Time and material</t>
        </is>
      </c>
      <c r="D81" s="4" t="inlineStr">
        <is>
          <t>In Progress</t>
        </is>
      </c>
      <c r="E81" s="4" t="inlineStr">
        <is>
          <t>Kathy Hurley</t>
        </is>
      </c>
      <c r="F81" s="5" t="n">
        <v>301200</v>
      </c>
      <c r="G81" s="5" t="n">
        <v>217496.52</v>
      </c>
      <c r="H81" s="5" t="n">
        <v>217496.52</v>
      </c>
      <c r="I81" s="5" t="n">
        <v>0</v>
      </c>
      <c r="J81" s="5" t="n">
        <v>204816</v>
      </c>
      <c r="K81" s="6" t="n">
        <v>0.68</v>
      </c>
      <c r="L81" s="5" t="n">
        <v>196030.1</v>
      </c>
      <c r="M81" s="5" t="n">
        <v>21466.41999999998</v>
      </c>
      <c r="N81" s="6">
        <f>IF(G81=0,0,L81/G81)</f>
        <v/>
      </c>
      <c r="O81" s="5">
        <f>J81-L81</f>
        <v/>
      </c>
      <c r="P81" s="4" t="inlineStr">
        <is>
          <t>High Desert</t>
        </is>
      </c>
    </row>
    <row r="82">
      <c r="A82" s="4" t="inlineStr">
        <is>
          <t>24-PC-35586</t>
        </is>
      </c>
      <c r="B82" s="4" t="inlineStr">
        <is>
          <t>Quail Run Harbor Dredging - Data Recovery</t>
        </is>
      </c>
      <c r="C82" s="4" t="inlineStr">
        <is>
          <t>Fixed fee</t>
        </is>
      </c>
      <c r="D82" s="4" t="inlineStr">
        <is>
          <t>In Progress</t>
        </is>
      </c>
      <c r="E82" s="4" t="inlineStr">
        <is>
          <t>Eileen Poole</t>
        </is>
      </c>
      <c r="F82" s="5" t="n">
        <v>119200</v>
      </c>
      <c r="G82" s="5" t="n">
        <v>88243.75999999999</v>
      </c>
      <c r="H82" s="5" t="n">
        <v>88243.75999999999</v>
      </c>
      <c r="I82" s="5" t="n">
        <v>0</v>
      </c>
      <c r="J82" s="5" t="n">
        <v>90150.96000000001</v>
      </c>
      <c r="K82" s="6" t="n">
        <v>0.756</v>
      </c>
      <c r="L82" s="5" t="n">
        <v>66735.14</v>
      </c>
      <c r="M82" s="5" t="n">
        <v>21508.62</v>
      </c>
      <c r="N82" s="6">
        <f>IF(G82=0,0,L82/G82)</f>
        <v/>
      </c>
      <c r="O82" s="5">
        <f>J82-L82</f>
        <v/>
      </c>
      <c r="P82" s="4" t="inlineStr">
        <is>
          <t>High Desert</t>
        </is>
      </c>
    </row>
    <row r="83">
      <c r="A83" s="4" t="inlineStr">
        <is>
          <t>24-PC-35661</t>
        </is>
      </c>
      <c r="B83" s="4" t="inlineStr">
        <is>
          <t>On-Call: Willow Springs Reservoir Archaeological Testing</t>
        </is>
      </c>
      <c r="C83" s="4" t="inlineStr">
        <is>
          <t>Time and material</t>
        </is>
      </c>
      <c r="D83" s="4" t="inlineStr">
        <is>
          <t>In Progress</t>
        </is>
      </c>
      <c r="E83" s="4" t="inlineStr">
        <is>
          <t>Kathy Hurley</t>
        </is>
      </c>
      <c r="F83" s="5" t="n">
        <v>69900</v>
      </c>
      <c r="G83" s="5" t="n">
        <v>49013.31</v>
      </c>
      <c r="H83" s="5" t="n">
        <v>40696.6</v>
      </c>
      <c r="I83" s="5" t="n">
        <v>8316.709999999999</v>
      </c>
      <c r="J83" s="5" t="n">
        <v>69900</v>
      </c>
      <c r="K83" s="6" t="n">
        <v>1</v>
      </c>
      <c r="L83" s="5" t="n">
        <v>53862.59</v>
      </c>
      <c r="M83" s="5" t="n">
        <v>-4849.279999999999</v>
      </c>
      <c r="N83" s="6">
        <f>IF(G83=0,0,L83/G83)</f>
        <v/>
      </c>
      <c r="O83" s="5">
        <f>J83-L83</f>
        <v/>
      </c>
      <c r="P83" s="4" t="inlineStr">
        <is>
          <t>High Desert</t>
        </is>
      </c>
    </row>
    <row r="84">
      <c r="A84" s="4" t="inlineStr">
        <is>
          <t>24-PC-35872</t>
        </is>
      </c>
      <c r="B84" s="4" t="inlineStr">
        <is>
          <t>Wren Hollow Cultural Resources Monitoring</t>
        </is>
      </c>
      <c r="C84" s="4" t="inlineStr">
        <is>
          <t>Time and material</t>
        </is>
      </c>
      <c r="D84" s="4" t="inlineStr">
        <is>
          <t>In Progress</t>
        </is>
      </c>
      <c r="E84" s="4" t="inlineStr">
        <is>
          <t>Kathy Hurley</t>
        </is>
      </c>
      <c r="F84" s="5" t="n">
        <v>225100</v>
      </c>
      <c r="G84" s="5" t="n">
        <v>153743.3</v>
      </c>
      <c r="H84" s="5" t="n">
        <v>153743.3</v>
      </c>
      <c r="I84" s="5" t="n">
        <v>0</v>
      </c>
      <c r="J84" s="5" t="n">
        <v>200102.05</v>
      </c>
      <c r="K84" s="6" t="n">
        <v>0.889</v>
      </c>
      <c r="L84" s="5" t="n">
        <v>140872.8</v>
      </c>
      <c r="M84" s="5" t="n">
        <v>12870.5</v>
      </c>
      <c r="N84" s="6">
        <f>IF(G84=0,0,L84/G84)</f>
        <v/>
      </c>
      <c r="O84" s="5">
        <f>J84-L84</f>
        <v/>
      </c>
      <c r="P84" s="4" t="inlineStr">
        <is>
          <t>High Desert</t>
        </is>
      </c>
    </row>
    <row r="85">
      <c r="A85" s="4" t="inlineStr">
        <is>
          <t>24-PC-36099</t>
        </is>
      </c>
      <c r="B85" s="4" t="inlineStr">
        <is>
          <t>Copper Flats Rail Siding - Built Environment Survey</t>
        </is>
      </c>
      <c r="C85" s="4" t="inlineStr">
        <is>
          <t>Fixed fee</t>
        </is>
      </c>
      <c r="D85" s="4" t="inlineStr">
        <is>
          <t>In Progress</t>
        </is>
      </c>
      <c r="E85" s="4" t="inlineStr">
        <is>
          <t>Eileen Poole</t>
        </is>
      </c>
      <c r="F85" s="5" t="n">
        <v>12900</v>
      </c>
      <c r="G85" s="5" t="n">
        <v>9094.5</v>
      </c>
      <c r="H85" s="5" t="n">
        <v>9094.5</v>
      </c>
      <c r="I85" s="5" t="n">
        <v>0</v>
      </c>
      <c r="J85" s="5" t="n">
        <v>10859.22</v>
      </c>
      <c r="K85" s="6" t="n">
        <v>0.842</v>
      </c>
      <c r="L85" s="5" t="n">
        <v>7655.43</v>
      </c>
      <c r="M85" s="5" t="n">
        <v>1439.07</v>
      </c>
      <c r="N85" s="6">
        <f>IF(G85=0,0,L85/G85)</f>
        <v/>
      </c>
      <c r="O85" s="5">
        <f>J85-L85</f>
        <v/>
      </c>
      <c r="P85" s="4" t="inlineStr">
        <is>
          <t>High Desert</t>
        </is>
      </c>
    </row>
    <row r="86">
      <c r="A86" s="4" t="inlineStr">
        <is>
          <t>24-PC-36146</t>
        </is>
      </c>
      <c r="B86" s="4" t="inlineStr">
        <is>
          <t>Sea Oat Bridge Replacement Phase II Testing</t>
        </is>
      </c>
      <c r="C86" s="4" t="inlineStr">
        <is>
          <t>Fixed fee</t>
        </is>
      </c>
      <c r="D86" s="4" t="inlineStr">
        <is>
          <t>Cost Tracking on Closed Project</t>
        </is>
      </c>
      <c r="E86" s="4" t="inlineStr">
        <is>
          <t>Kathy Hurley</t>
        </is>
      </c>
      <c r="F86" s="5" t="n">
        <v>58300</v>
      </c>
      <c r="G86" s="5" t="n">
        <v>39072.66</v>
      </c>
      <c r="H86" s="5" t="n">
        <v>39072.66</v>
      </c>
      <c r="I86" s="5" t="n">
        <v>0</v>
      </c>
      <c r="J86" s="5" t="n">
        <v>58300</v>
      </c>
      <c r="K86" s="6" t="n">
        <v>1</v>
      </c>
      <c r="L86" s="5" t="n">
        <v>45518.79</v>
      </c>
      <c r="M86" s="5" t="n">
        <v>-6446.129999999997</v>
      </c>
      <c r="N86" s="6">
        <f>IF(G86=0,0,L86/G86)</f>
        <v/>
      </c>
      <c r="O86" s="5">
        <f>J86-L86</f>
        <v/>
      </c>
      <c r="P86" s="4" t="inlineStr">
        <is>
          <t>High Desert</t>
        </is>
      </c>
    </row>
    <row r="87">
      <c r="A87" s="4" t="inlineStr">
        <is>
          <t>24-PC-36161</t>
        </is>
      </c>
      <c r="B87" s="4" t="inlineStr">
        <is>
          <t>Phase II: Saltgrass Mine Expansion Data Recovery</t>
        </is>
      </c>
      <c r="C87" s="4" t="inlineStr">
        <is>
          <t>Time and material</t>
        </is>
      </c>
      <c r="D87" s="4" t="inlineStr">
        <is>
          <t>In Progress</t>
        </is>
      </c>
      <c r="E87" s="4" t="inlineStr">
        <is>
          <t>Kathy Hurley</t>
        </is>
      </c>
      <c r="F87" s="5" t="n">
        <v>5700</v>
      </c>
      <c r="G87" s="5" t="n">
        <v>4244.79</v>
      </c>
      <c r="H87" s="5" t="n">
        <v>4244.79</v>
      </c>
      <c r="I87" s="5" t="n">
        <v>0</v>
      </c>
      <c r="J87" s="5" t="n">
        <v>3876</v>
      </c>
      <c r="K87" s="6" t="n">
        <v>0.68</v>
      </c>
      <c r="L87" s="5" t="n">
        <v>3255.04</v>
      </c>
      <c r="M87" s="5" t="n">
        <v>989.75</v>
      </c>
      <c r="N87" s="6">
        <f>IF(G87=0,0,L87/G87)</f>
        <v/>
      </c>
      <c r="O87" s="5">
        <f>J87-L87</f>
        <v/>
      </c>
      <c r="P87" s="4" t="inlineStr">
        <is>
          <t>High Desert</t>
        </is>
      </c>
    </row>
    <row r="88">
      <c r="A88" s="4" t="inlineStr">
        <is>
          <t>24-PC-36290</t>
        </is>
      </c>
      <c r="B88" s="4" t="inlineStr">
        <is>
          <t>Task Order 12: Lone Pine Battery Storage GIS Mapping</t>
        </is>
      </c>
      <c r="C88" s="4" t="inlineStr">
        <is>
          <t>Fixed fee</t>
        </is>
      </c>
      <c r="D88" s="4" t="inlineStr">
        <is>
          <t>Cost Tracking on Closed Project</t>
        </is>
      </c>
      <c r="E88" s="4" t="inlineStr">
        <is>
          <t>Rodney Mcguire</t>
        </is>
      </c>
      <c r="F88" s="5" t="n">
        <v>56300</v>
      </c>
      <c r="G88" s="5" t="n">
        <v>37721</v>
      </c>
      <c r="H88" s="5" t="n">
        <v>37721</v>
      </c>
      <c r="I88" s="5" t="n">
        <v>0</v>
      </c>
      <c r="J88" s="5" t="n">
        <v>52077.5</v>
      </c>
      <c r="K88" s="6" t="n">
        <v>0.925</v>
      </c>
      <c r="L88" s="5" t="n">
        <v>34891.33</v>
      </c>
      <c r="M88" s="5" t="n">
        <v>2829.669999999998</v>
      </c>
      <c r="N88" s="6">
        <f>IF(G88=0,0,L88/G88)</f>
        <v/>
      </c>
      <c r="O88" s="5">
        <f>J88-L88</f>
        <v/>
      </c>
      <c r="P88" s="4" t="inlineStr">
        <is>
          <t>Island</t>
        </is>
      </c>
    </row>
    <row r="89">
      <c r="A89" s="4" t="inlineStr">
        <is>
          <t>24-PC-36978</t>
        </is>
      </c>
      <c r="B89" s="4" t="inlineStr">
        <is>
          <t>Slate Ridge Water Main Archaeological Testing</t>
        </is>
      </c>
      <c r="C89" s="4" t="inlineStr">
        <is>
          <t>Fixed fee</t>
        </is>
      </c>
      <c r="D89" s="4" t="inlineStr">
        <is>
          <t>In Progress</t>
        </is>
      </c>
      <c r="E89" s="4" t="inlineStr">
        <is>
          <t>Glen Delacruz</t>
        </is>
      </c>
      <c r="F89" s="5" t="n">
        <v>141000</v>
      </c>
      <c r="G89" s="5" t="n">
        <v>113970.3</v>
      </c>
      <c r="H89" s="5" t="n">
        <v>113970.3</v>
      </c>
      <c r="I89" s="5" t="n">
        <v>0</v>
      </c>
      <c r="J89" s="5" t="n">
        <v>141000</v>
      </c>
      <c r="K89" s="6" t="n">
        <v>1</v>
      </c>
      <c r="L89" s="5" t="n">
        <v>138124.06</v>
      </c>
      <c r="M89" s="5" t="n">
        <v>-24153.75999999999</v>
      </c>
      <c r="N89" s="6">
        <f>IF(G89=0,0,L89/G89)</f>
        <v/>
      </c>
      <c r="O89" s="5">
        <f>J89-L89</f>
        <v/>
      </c>
      <c r="P89" s="4" t="inlineStr">
        <is>
          <t>Hill Country</t>
        </is>
      </c>
    </row>
    <row r="90">
      <c r="A90" s="4" t="inlineStr">
        <is>
          <t>24-PC-37125</t>
        </is>
      </c>
      <c r="B90" s="4" t="inlineStr">
        <is>
          <t>Task Order 3: Elk Meadow Cell Tower Phase II Testing</t>
        </is>
      </c>
      <c r="C90" s="4" t="inlineStr">
        <is>
          <t>Fixed fee</t>
        </is>
      </c>
      <c r="D90" s="4" t="inlineStr">
        <is>
          <t>In Progress</t>
        </is>
      </c>
      <c r="E90" s="4" t="inlineStr">
        <is>
          <t>Gail Meza</t>
        </is>
      </c>
      <c r="F90" s="5" t="n">
        <v>1259200</v>
      </c>
      <c r="G90" s="5" t="n">
        <v>853989.4399999999</v>
      </c>
      <c r="H90" s="5" t="n">
        <v>853989.4399999999</v>
      </c>
      <c r="I90" s="5" t="n">
        <v>0</v>
      </c>
      <c r="J90" s="5" t="n">
        <v>928785.92</v>
      </c>
      <c r="K90" s="6" t="n">
        <v>0.738</v>
      </c>
      <c r="L90" s="5" t="n">
        <v>629919.62</v>
      </c>
      <c r="M90" s="5" t="n">
        <v>224069.8199999999</v>
      </c>
      <c r="N90" s="6">
        <f>IF(G90=0,0,L90/G90)</f>
        <v/>
      </c>
      <c r="O90" s="5">
        <f>J90-L90</f>
        <v/>
      </c>
      <c r="P90" s="4" t="inlineStr">
        <is>
          <t>Hill Country</t>
        </is>
      </c>
    </row>
    <row r="91">
      <c r="A91" s="4" t="inlineStr">
        <is>
          <t>24-PC-37235</t>
        </is>
      </c>
      <c r="B91" s="4" t="inlineStr">
        <is>
          <t>Coyote Springs Bridge Replacement - Phase II Testing</t>
        </is>
      </c>
      <c r="C91" s="4" t="inlineStr">
        <is>
          <t>Time and material</t>
        </is>
      </c>
      <c r="D91" s="4" t="inlineStr">
        <is>
          <t>In Progress</t>
        </is>
      </c>
      <c r="E91" s="4" t="inlineStr">
        <is>
          <t>Samuel Wilkerson</t>
        </is>
      </c>
      <c r="F91" s="5" t="n">
        <v>67000</v>
      </c>
      <c r="G91" s="5" t="n">
        <v>40709.2</v>
      </c>
      <c r="H91" s="5" t="n">
        <v>40709.2</v>
      </c>
      <c r="I91" s="5" t="n">
        <v>0</v>
      </c>
      <c r="J91" s="5" t="n">
        <v>51564</v>
      </c>
      <c r="K91" s="6" t="n">
        <v>0.77</v>
      </c>
      <c r="L91" s="5" t="n">
        <v>34240.46</v>
      </c>
      <c r="M91" s="5" t="n">
        <v>6468.739999999998</v>
      </c>
      <c r="N91" s="6">
        <f>IF(G91=0,0,L91/G91)</f>
        <v/>
      </c>
      <c r="O91" s="5">
        <f>J91-L91</f>
        <v/>
      </c>
      <c r="P91" s="4" t="inlineStr">
        <is>
          <t>Hill Country</t>
        </is>
      </c>
    </row>
    <row r="92">
      <c r="A92" s="4" t="inlineStr">
        <is>
          <t>24-PC-37336</t>
        </is>
      </c>
      <c r="B92" s="4" t="inlineStr">
        <is>
          <t>Kestrel Butte Reservoir - Historic Resources Evaluation</t>
        </is>
      </c>
      <c r="C92" s="4" t="inlineStr">
        <is>
          <t>Fixed fee</t>
        </is>
      </c>
      <c r="D92" s="4" t="inlineStr">
        <is>
          <t>In Progress</t>
        </is>
      </c>
      <c r="E92" s="4" t="inlineStr">
        <is>
          <t>Theresa Fernandez</t>
        </is>
      </c>
      <c r="F92" s="5" t="n">
        <v>298500</v>
      </c>
      <c r="G92" s="5" t="n">
        <v>243904.35</v>
      </c>
      <c r="H92" s="5" t="n">
        <v>243904.35</v>
      </c>
      <c r="I92" s="5" t="n">
        <v>0</v>
      </c>
      <c r="J92" s="5" t="n">
        <v>213069.3</v>
      </c>
      <c r="K92" s="6" t="n">
        <v>0.714</v>
      </c>
      <c r="L92" s="5" t="n">
        <v>174092.01</v>
      </c>
      <c r="M92" s="5" t="n">
        <v>69812.34</v>
      </c>
      <c r="N92" s="6">
        <f>IF(G92=0,0,L92/G92)</f>
        <v/>
      </c>
      <c r="O92" s="5">
        <f>J92-L92</f>
        <v/>
      </c>
      <c r="P92" s="4" t="inlineStr">
        <is>
          <t>Hill Country</t>
        </is>
      </c>
    </row>
    <row r="93">
      <c r="A93" s="4" t="inlineStr">
        <is>
          <t>24-PC-37442</t>
        </is>
      </c>
      <c r="B93" s="4" t="inlineStr">
        <is>
          <t>Cedar Hollow Cultural Resources Monitoring</t>
        </is>
      </c>
      <c r="C93" s="4" t="inlineStr">
        <is>
          <t>Time and material</t>
        </is>
      </c>
      <c r="D93" s="4" t="inlineStr">
        <is>
          <t>In Progress</t>
        </is>
      </c>
      <c r="E93" s="4" t="inlineStr">
        <is>
          <t>Jody Chung</t>
        </is>
      </c>
      <c r="F93" s="5" t="n">
        <v>309400</v>
      </c>
      <c r="G93" s="5" t="n">
        <v>184093</v>
      </c>
      <c r="H93" s="5" t="n">
        <v>184093</v>
      </c>
      <c r="I93" s="5" t="n">
        <v>0</v>
      </c>
      <c r="J93" s="5" t="n">
        <v>210392</v>
      </c>
      <c r="K93" s="6" t="n">
        <v>0.68</v>
      </c>
      <c r="L93" s="5" t="n">
        <v>149432.06</v>
      </c>
      <c r="M93" s="5" t="n">
        <v>34660.94</v>
      </c>
      <c r="N93" s="6">
        <f>IF(G93=0,0,L93/G93)</f>
        <v/>
      </c>
      <c r="O93" s="5">
        <f>J93-L93</f>
        <v/>
      </c>
      <c r="P93" s="4" t="inlineStr">
        <is>
          <t>PIEDMONT - INACTIVE</t>
        </is>
      </c>
    </row>
    <row r="94">
      <c r="A94" s="4" t="inlineStr">
        <is>
          <t>24-PC-38141</t>
        </is>
      </c>
      <c r="B94" s="4" t="inlineStr">
        <is>
          <t>Phase II: Willow Springs Airport Apron Cultural Resources Assessment</t>
        </is>
      </c>
      <c r="C94" s="4" t="inlineStr">
        <is>
          <t>Fixed fee</t>
        </is>
      </c>
      <c r="D94" s="4" t="inlineStr">
        <is>
          <t>In Progress</t>
        </is>
      </c>
      <c r="E94" s="4" t="inlineStr">
        <is>
          <t>Sherry Lloyd</t>
        </is>
      </c>
      <c r="F94" s="5" t="n">
        <v>132200</v>
      </c>
      <c r="G94" s="5" t="n">
        <v>95580.60000000001</v>
      </c>
      <c r="H94" s="5" t="n">
        <v>95580.60000000001</v>
      </c>
      <c r="I94" s="5" t="n">
        <v>0</v>
      </c>
      <c r="J94" s="5" t="n">
        <v>121663.66</v>
      </c>
      <c r="K94" s="6" t="n">
        <v>0.92</v>
      </c>
      <c r="L94" s="5" t="n">
        <v>87961.2</v>
      </c>
      <c r="M94" s="5" t="n">
        <v>7619.400000000009</v>
      </c>
      <c r="N94" s="6">
        <f>IF(G94=0,0,L94/G94)</f>
        <v/>
      </c>
      <c r="O94" s="5">
        <f>J94-L94</f>
        <v/>
      </c>
      <c r="P94" s="4" t="inlineStr">
        <is>
          <t>Prairie</t>
        </is>
      </c>
    </row>
    <row r="95">
      <c r="A95" s="4" t="inlineStr">
        <is>
          <t>24-PC-38486</t>
        </is>
      </c>
      <c r="B95" s="4" t="inlineStr">
        <is>
          <t>Kestrel Butte Phase I Survey</t>
        </is>
      </c>
      <c r="C95" s="4" t="inlineStr">
        <is>
          <t>Fixed fee</t>
        </is>
      </c>
      <c r="D95" s="4" t="inlineStr">
        <is>
          <t>In Progress</t>
        </is>
      </c>
      <c r="E95" s="4" t="inlineStr">
        <is>
          <t>Jeanette Chung</t>
        </is>
      </c>
      <c r="F95" s="5" t="n">
        <v>153600</v>
      </c>
      <c r="G95" s="5" t="n">
        <v>105043.81</v>
      </c>
      <c r="H95" s="5" t="n">
        <v>77500.98</v>
      </c>
      <c r="I95" s="5" t="n">
        <v>27542.83</v>
      </c>
      <c r="J95" s="5" t="n">
        <v>153600</v>
      </c>
      <c r="K95" s="6" t="n">
        <v>1</v>
      </c>
      <c r="L95" s="5" t="n">
        <v>119866.24</v>
      </c>
      <c r="M95" s="5" t="n">
        <v>-14822.43000000001</v>
      </c>
      <c r="N95" s="6">
        <f>IF(G95=0,0,L95/G95)</f>
        <v/>
      </c>
      <c r="O95" s="5">
        <f>J95-L95</f>
        <v/>
      </c>
      <c r="P95" s="4" t="inlineStr">
        <is>
          <t>Red Rock</t>
        </is>
      </c>
    </row>
    <row r="96">
      <c r="A96" s="4" t="inlineStr">
        <is>
          <t>24-PC-38790</t>
        </is>
      </c>
      <c r="B96" s="4" t="inlineStr">
        <is>
          <t>Twin Buttes Harbor Dredging Maritime Remote Sensing Survey</t>
        </is>
      </c>
      <c r="C96" s="4" t="inlineStr">
        <is>
          <t>Fixed fee</t>
        </is>
      </c>
      <c r="D96" s="4" t="inlineStr">
        <is>
          <t>Transferred Entity</t>
        </is>
      </c>
      <c r="E96" s="4" t="inlineStr">
        <is>
          <t>Marisa Odom</t>
        </is>
      </c>
      <c r="F96" s="5" t="n">
        <v>168200</v>
      </c>
      <c r="G96" s="5" t="n">
        <v>130489.56</v>
      </c>
      <c r="H96" s="5" t="n">
        <v>130489.56</v>
      </c>
      <c r="I96" s="5" t="n">
        <v>0</v>
      </c>
      <c r="J96" s="5" t="n">
        <v>168200</v>
      </c>
      <c r="K96" s="6" t="n">
        <v>1</v>
      </c>
      <c r="L96" s="5" t="n">
        <v>132230.67</v>
      </c>
      <c r="M96" s="5" t="n">
        <v>-1741.110000000015</v>
      </c>
      <c r="N96" s="6">
        <f>IF(G96=0,0,L96/G96)</f>
        <v/>
      </c>
      <c r="O96" s="5">
        <f>J96-L96</f>
        <v/>
      </c>
      <c r="P96" s="4" t="inlineStr">
        <is>
          <t>Red Rock</t>
        </is>
      </c>
    </row>
    <row r="97">
      <c r="A97" s="4" t="inlineStr">
        <is>
          <t>24-PC-39091</t>
        </is>
      </c>
      <c r="B97" s="4" t="inlineStr">
        <is>
          <t>Phase I: Dove Canyon Battery Storage Class III Survey</t>
        </is>
      </c>
      <c r="C97" s="4" t="inlineStr">
        <is>
          <t>Fixed fee</t>
        </is>
      </c>
      <c r="D97" s="4" t="inlineStr">
        <is>
          <t>In Progress</t>
        </is>
      </c>
      <c r="E97" s="4" t="inlineStr">
        <is>
          <t>Shelia Horne</t>
        </is>
      </c>
      <c r="F97" s="5" t="n">
        <v>100200</v>
      </c>
      <c r="G97" s="5" t="n">
        <v>72685.08</v>
      </c>
      <c r="H97" s="5" t="n">
        <v>72685.08</v>
      </c>
      <c r="I97" s="5" t="n">
        <v>0</v>
      </c>
      <c r="J97" s="5" t="n">
        <v>100200</v>
      </c>
      <c r="K97" s="6" t="n">
        <v>1</v>
      </c>
      <c r="L97" s="5" t="n">
        <v>103671</v>
      </c>
      <c r="M97" s="5" t="n">
        <v>-30985.92</v>
      </c>
      <c r="N97" s="6">
        <f>IF(G97=0,0,L97/G97)</f>
        <v/>
      </c>
      <c r="O97" s="5">
        <f>J97-L97</f>
        <v/>
      </c>
      <c r="P97" s="4" t="inlineStr">
        <is>
          <t>Red Rock</t>
        </is>
      </c>
    </row>
    <row r="98">
      <c r="A98" s="4" t="inlineStr">
        <is>
          <t>24-PC-39206</t>
        </is>
      </c>
      <c r="B98" s="4" t="inlineStr">
        <is>
          <t>Task Order 19: Plover Cove Water Main GIS Mapping</t>
        </is>
      </c>
      <c r="C98" s="4" t="inlineStr">
        <is>
          <t>Time and material</t>
        </is>
      </c>
      <c r="D98" s="4" t="inlineStr">
        <is>
          <t>In Progress</t>
        </is>
      </c>
      <c r="E98" s="4" t="inlineStr">
        <is>
          <t>Lydia Cisneros</t>
        </is>
      </c>
      <c r="F98" s="5" t="n">
        <v>126600</v>
      </c>
      <c r="G98" s="5" t="n">
        <v>82581.17999999999</v>
      </c>
      <c r="H98" s="5" t="n">
        <v>82581.17999999999</v>
      </c>
      <c r="I98" s="5" t="n">
        <v>0</v>
      </c>
      <c r="J98" s="5" t="n">
        <v>86088</v>
      </c>
      <c r="K98" s="6" t="n">
        <v>0.68</v>
      </c>
      <c r="L98" s="5" t="n">
        <v>59856.61</v>
      </c>
      <c r="M98" s="5" t="n">
        <v>22724.56999999999</v>
      </c>
      <c r="N98" s="6">
        <f>IF(G98=0,0,L98/G98)</f>
        <v/>
      </c>
      <c r="O98" s="5">
        <f>J98-L98</f>
        <v/>
      </c>
      <c r="P98" s="4" t="inlineStr">
        <is>
          <t>Red Rock</t>
        </is>
      </c>
    </row>
    <row r="99">
      <c r="A99" s="4" t="inlineStr">
        <is>
          <t>24-PC-39213</t>
        </is>
      </c>
      <c r="B99" s="4" t="inlineStr">
        <is>
          <t>Task Order 17: Sage Flat School Campus Maritime Remote Sensing Survey</t>
        </is>
      </c>
      <c r="C99" s="4" t="inlineStr">
        <is>
          <t>Fixed fee</t>
        </is>
      </c>
      <c r="D99" s="4" t="inlineStr">
        <is>
          <t>In Progress</t>
        </is>
      </c>
      <c r="E99" s="4" t="inlineStr">
        <is>
          <t>Javier Newman</t>
        </is>
      </c>
      <c r="F99" s="5" t="n">
        <v>597800</v>
      </c>
      <c r="G99" s="5" t="n">
        <v>435557.08</v>
      </c>
      <c r="H99" s="5" t="n">
        <v>435557.08</v>
      </c>
      <c r="I99" s="5" t="n">
        <v>0</v>
      </c>
      <c r="J99" s="5" t="n">
        <v>458990.84</v>
      </c>
      <c r="K99" s="6" t="n">
        <v>0.768</v>
      </c>
      <c r="L99" s="5" t="n">
        <v>334422.57</v>
      </c>
      <c r="M99" s="5" t="n">
        <v>101134.51</v>
      </c>
      <c r="N99" s="6">
        <f>IF(G99=0,0,L99/G99)</f>
        <v/>
      </c>
      <c r="O99" s="5">
        <f>J99-L99</f>
        <v/>
      </c>
      <c r="P99" s="4" t="inlineStr">
        <is>
          <t>Red Rock</t>
        </is>
      </c>
    </row>
    <row r="100">
      <c r="A100" s="4" t="inlineStr">
        <is>
          <t>24-PC-39308</t>
        </is>
      </c>
      <c r="B100" s="4" t="inlineStr">
        <is>
          <t>Pebble Beach Road Reservoir GIS Mapping</t>
        </is>
      </c>
      <c r="C100" s="4" t="inlineStr">
        <is>
          <t>Fixed fee</t>
        </is>
      </c>
      <c r="D100" s="4" t="inlineStr">
        <is>
          <t>Cost Tracking on Closed Project</t>
        </is>
      </c>
      <c r="E100" s="4" t="inlineStr">
        <is>
          <t>Shelia Horne</t>
        </is>
      </c>
      <c r="F100" s="5" t="n">
        <v>11000</v>
      </c>
      <c r="G100" s="5" t="n">
        <v>7227</v>
      </c>
      <c r="H100" s="5" t="n">
        <v>7227</v>
      </c>
      <c r="I100" s="5" t="n">
        <v>0</v>
      </c>
      <c r="J100" s="5" t="n">
        <v>11000</v>
      </c>
      <c r="K100" s="6" t="n">
        <v>1</v>
      </c>
      <c r="L100" s="5" t="n">
        <v>7427.79</v>
      </c>
      <c r="M100" s="5" t="n">
        <v>-200.79</v>
      </c>
      <c r="N100" s="6">
        <f>IF(G100=0,0,L100/G100)</f>
        <v/>
      </c>
      <c r="O100" s="5">
        <f>J100-L100</f>
        <v/>
      </c>
      <c r="P100" s="4" t="inlineStr">
        <is>
          <t>Red Rock</t>
        </is>
      </c>
    </row>
    <row r="101">
      <c r="A101" s="4" t="inlineStr">
        <is>
          <t>24-PC-39511</t>
        </is>
      </c>
      <c r="B101" s="4" t="inlineStr">
        <is>
          <t>Juniper Wash Pipeline - Archaeological Testing</t>
        </is>
      </c>
      <c r="C101" s="4" t="inlineStr">
        <is>
          <t>Time and material</t>
        </is>
      </c>
      <c r="D101" s="4" t="inlineStr">
        <is>
          <t>In Progress</t>
        </is>
      </c>
      <c r="E101" s="4" t="inlineStr">
        <is>
          <t>Tina Aguirre</t>
        </is>
      </c>
      <c r="F101" s="5" t="n">
        <v>33000</v>
      </c>
      <c r="G101" s="5" t="n">
        <v>23227.58</v>
      </c>
      <c r="H101" s="5" t="n">
        <v>20462.4</v>
      </c>
      <c r="I101" s="5" t="n">
        <v>2765.18</v>
      </c>
      <c r="J101" s="5" t="n">
        <v>29186</v>
      </c>
      <c r="K101" s="6" t="n">
        <v>0.884</v>
      </c>
      <c r="L101" s="5" t="n">
        <v>29633.53</v>
      </c>
      <c r="M101" s="5" t="n">
        <v>-6405.949999999997</v>
      </c>
      <c r="N101" s="6">
        <f>IF(G101=0,0,L101/G101)</f>
        <v/>
      </c>
      <c r="O101" s="5">
        <f>J101-L101</f>
        <v/>
      </c>
      <c r="P101" s="4" t="inlineStr">
        <is>
          <t>Red Rock</t>
        </is>
      </c>
    </row>
    <row r="102">
      <c r="A102" s="4" t="inlineStr">
        <is>
          <t>24-PC-39533</t>
        </is>
      </c>
      <c r="B102" s="4" t="inlineStr">
        <is>
          <t>Elk Meadow Architectural History Survey</t>
        </is>
      </c>
      <c r="C102" s="4" t="inlineStr">
        <is>
          <t>Fixed fee</t>
        </is>
      </c>
      <c r="D102" s="4" t="inlineStr">
        <is>
          <t>In Progress</t>
        </is>
      </c>
      <c r="E102" s="4" t="inlineStr">
        <is>
          <t>Jeanette Chung</t>
        </is>
      </c>
      <c r="F102" s="5" t="n">
        <v>67000</v>
      </c>
      <c r="G102" s="5" t="n">
        <v>52641.9</v>
      </c>
      <c r="H102" s="5" t="n">
        <v>52641.9</v>
      </c>
      <c r="I102" s="5" t="n">
        <v>0</v>
      </c>
      <c r="J102" s="5" t="n">
        <v>63536.1</v>
      </c>
      <c r="K102" s="6" t="n">
        <v>0.948</v>
      </c>
      <c r="L102" s="5" t="n">
        <v>49919.2</v>
      </c>
      <c r="M102" s="5" t="n">
        <v>2722.700000000004</v>
      </c>
      <c r="N102" s="6">
        <f>IF(G102=0,0,L102/G102)</f>
        <v/>
      </c>
      <c r="O102" s="5">
        <f>J102-L102</f>
        <v/>
      </c>
      <c r="P102" s="4" t="inlineStr">
        <is>
          <t>Red Rock</t>
        </is>
      </c>
    </row>
    <row r="103">
      <c r="A103" s="4" t="inlineStr">
        <is>
          <t>24-PC-39825</t>
        </is>
      </c>
      <c r="B103" s="4" t="inlineStr">
        <is>
          <t>On-Call: Twin Buttes Housing Development GIS Mapping</t>
        </is>
      </c>
      <c r="C103" s="4" t="inlineStr">
        <is>
          <t>Fixed fee</t>
        </is>
      </c>
      <c r="D103" s="4" t="inlineStr">
        <is>
          <t>In Progress</t>
        </is>
      </c>
      <c r="E103" s="4" t="inlineStr">
        <is>
          <t>Bruce Suarez</t>
        </is>
      </c>
      <c r="F103" s="5" t="n">
        <v>17800</v>
      </c>
      <c r="G103" s="5" t="n">
        <v>14308.95</v>
      </c>
      <c r="H103" s="5" t="n">
        <v>10538.95</v>
      </c>
      <c r="I103" s="5" t="n">
        <v>3770</v>
      </c>
      <c r="J103" s="5" t="n">
        <v>17800</v>
      </c>
      <c r="K103" s="6" t="n">
        <v>1</v>
      </c>
      <c r="L103" s="5" t="n">
        <v>14659.16</v>
      </c>
      <c r="M103" s="5" t="n">
        <v>-350.2099999999991</v>
      </c>
      <c r="N103" s="6">
        <f>IF(G103=0,0,L103/G103)</f>
        <v/>
      </c>
      <c r="O103" s="5">
        <f>J103-L103</f>
        <v/>
      </c>
      <c r="P103" s="4" t="inlineStr">
        <is>
          <t>Red Rock</t>
        </is>
      </c>
    </row>
    <row r="104">
      <c r="A104" s="4" t="inlineStr">
        <is>
          <t>24-PC-39923</t>
        </is>
      </c>
      <c r="B104" s="4" t="inlineStr">
        <is>
          <t>Fern Valley Fiber Route - Data Recovery</t>
        </is>
      </c>
      <c r="C104" s="4" t="inlineStr">
        <is>
          <t>Time and material</t>
        </is>
      </c>
      <c r="D104" s="4" t="inlineStr">
        <is>
          <t>In Progress</t>
        </is>
      </c>
      <c r="E104" s="4" t="inlineStr">
        <is>
          <t>Lydia Cisneros</t>
        </is>
      </c>
      <c r="F104" s="5" t="n">
        <v>414900</v>
      </c>
      <c r="G104" s="5" t="n">
        <v>270722.25</v>
      </c>
      <c r="H104" s="5" t="n">
        <v>270722.25</v>
      </c>
      <c r="I104" s="5" t="n">
        <v>0</v>
      </c>
      <c r="J104" s="5" t="n">
        <v>339174.65</v>
      </c>
      <c r="K104" s="6" t="n">
        <v>0.8169999999999999</v>
      </c>
      <c r="L104" s="5" t="n">
        <v>215589.53</v>
      </c>
      <c r="M104" s="5" t="n">
        <v>55132.72</v>
      </c>
      <c r="N104" s="6">
        <f>IF(G104=0,0,L104/G104)</f>
        <v/>
      </c>
      <c r="O104" s="5">
        <f>J104-L104</f>
        <v/>
      </c>
      <c r="P104" s="4" t="inlineStr">
        <is>
          <t>Red Rock</t>
        </is>
      </c>
    </row>
    <row r="105">
      <c r="A105" s="4" t="inlineStr">
        <is>
          <t>24-PC-40067</t>
        </is>
      </c>
      <c r="B105" s="4" t="inlineStr">
        <is>
          <t>Saltgrass Fiber Route Class III Survey</t>
        </is>
      </c>
      <c r="C105" s="4" t="inlineStr">
        <is>
          <t>Time and material</t>
        </is>
      </c>
      <c r="D105" s="4" t="inlineStr">
        <is>
          <t>In Progress</t>
        </is>
      </c>
      <c r="E105" s="4" t="inlineStr">
        <is>
          <t>Marisa Odom</t>
        </is>
      </c>
      <c r="F105" s="5" t="n">
        <v>218100</v>
      </c>
      <c r="G105" s="5" t="n">
        <v>163684.05</v>
      </c>
      <c r="H105" s="5" t="n">
        <v>163684.05</v>
      </c>
      <c r="I105" s="5" t="n">
        <v>0</v>
      </c>
      <c r="J105" s="5" t="n">
        <v>148308</v>
      </c>
      <c r="K105" s="6" t="n">
        <v>0.68</v>
      </c>
      <c r="L105" s="5" t="n">
        <v>137568.33</v>
      </c>
      <c r="M105" s="5" t="n">
        <v>26115.72</v>
      </c>
      <c r="N105" s="6">
        <f>IF(G105=0,0,L105/G105)</f>
        <v/>
      </c>
      <c r="O105" s="5">
        <f>J105-L105</f>
        <v/>
      </c>
      <c r="P105" s="4" t="inlineStr">
        <is>
          <t>Red Rock</t>
        </is>
      </c>
    </row>
    <row r="106">
      <c r="A106" s="4" t="inlineStr">
        <is>
          <t>24-PC-40102</t>
        </is>
      </c>
      <c r="B106" s="4" t="inlineStr">
        <is>
          <t>Redbud Class III Survey</t>
        </is>
      </c>
      <c r="C106" s="4" t="inlineStr">
        <is>
          <t>Fixed fee</t>
        </is>
      </c>
      <c r="D106" s="4" t="inlineStr">
        <is>
          <t>Final Reporting/Review</t>
        </is>
      </c>
      <c r="E106" s="4" t="inlineStr">
        <is>
          <t>Benjamin Mathis</t>
        </is>
      </c>
      <c r="F106" s="5" t="n">
        <v>453900</v>
      </c>
      <c r="G106" s="5" t="n">
        <v>322187.01</v>
      </c>
      <c r="H106" s="5" t="n">
        <v>278794.4</v>
      </c>
      <c r="I106" s="5" t="n">
        <v>43392.61</v>
      </c>
      <c r="J106" s="5" t="n">
        <v>453900</v>
      </c>
      <c r="K106" s="6" t="n">
        <v>1</v>
      </c>
      <c r="L106" s="5" t="n">
        <v>359994.61</v>
      </c>
      <c r="M106" s="5" t="n">
        <v>-37807.59999999998</v>
      </c>
      <c r="N106" s="6">
        <f>IF(G106=0,0,L106/G106)</f>
        <v/>
      </c>
      <c r="O106" s="5">
        <f>J106-L106</f>
        <v/>
      </c>
      <c r="P106" s="4" t="inlineStr">
        <is>
          <t>Sierra</t>
        </is>
      </c>
    </row>
    <row r="107">
      <c r="A107" s="4" t="inlineStr">
        <is>
          <t>24-PC-40634</t>
        </is>
      </c>
      <c r="B107" s="4" t="inlineStr">
        <is>
          <t>Phase I: Windmill Flat Solar Cultural Resources Assessment</t>
        </is>
      </c>
      <c r="C107" s="4" t="inlineStr">
        <is>
          <t>Fixed fee</t>
        </is>
      </c>
      <c r="D107" s="4" t="inlineStr">
        <is>
          <t>In Progress</t>
        </is>
      </c>
      <c r="E107" s="4" t="inlineStr">
        <is>
          <t>Angelica Poole</t>
        </is>
      </c>
      <c r="F107" s="5" t="n">
        <v>460500</v>
      </c>
      <c r="G107" s="5" t="n">
        <v>381017.7</v>
      </c>
      <c r="H107" s="5" t="n">
        <v>381017.7</v>
      </c>
      <c r="I107" s="5" t="n">
        <v>0</v>
      </c>
      <c r="J107" s="5" t="n">
        <v>326540.55</v>
      </c>
      <c r="K107" s="6" t="n">
        <v>0.709</v>
      </c>
      <c r="L107" s="5" t="n">
        <v>270177.47</v>
      </c>
      <c r="M107" s="5" t="n">
        <v>110840.23</v>
      </c>
      <c r="N107" s="6">
        <f>IF(G107=0,0,L107/G107)</f>
        <v/>
      </c>
      <c r="O107" s="5">
        <f>J107-L107</f>
        <v/>
      </c>
      <c r="P107" s="4" t="inlineStr">
        <is>
          <t>Sierra</t>
        </is>
      </c>
    </row>
    <row r="108">
      <c r="A108" s="4" t="inlineStr">
        <is>
          <t>24-PC-40659</t>
        </is>
      </c>
      <c r="B108" s="4" t="inlineStr">
        <is>
          <t>Phase III: Meadowlark Water Main Built Environment Survey</t>
        </is>
      </c>
      <c r="C108" s="4" t="inlineStr">
        <is>
          <t>Fixed fee</t>
        </is>
      </c>
      <c r="D108" s="4" t="inlineStr">
        <is>
          <t>Cost Tracking on Closed Project</t>
        </is>
      </c>
      <c r="E108" s="4" t="inlineStr">
        <is>
          <t>Louis Huff</t>
        </is>
      </c>
      <c r="F108" s="5" t="n">
        <v>50300</v>
      </c>
      <c r="G108" s="5" t="n">
        <v>35350.84</v>
      </c>
      <c r="H108" s="5" t="n">
        <v>35350.84</v>
      </c>
      <c r="I108" s="5" t="n">
        <v>0</v>
      </c>
      <c r="J108" s="5" t="n">
        <v>46200.55</v>
      </c>
      <c r="K108" s="6" t="n">
        <v>0.918</v>
      </c>
      <c r="L108" s="5" t="n">
        <v>32471.24</v>
      </c>
      <c r="M108" s="5" t="n">
        <v>2879.599999999995</v>
      </c>
      <c r="N108" s="6">
        <f>IF(G108=0,0,L108/G108)</f>
        <v/>
      </c>
      <c r="O108" s="5">
        <f>J108-L108</f>
        <v/>
      </c>
      <c r="P108" s="4" t="inlineStr">
        <is>
          <t>Sierra North</t>
        </is>
      </c>
    </row>
    <row r="109">
      <c r="A109" s="4" t="inlineStr">
        <is>
          <t>24-PC-40670</t>
        </is>
      </c>
      <c r="B109" s="4" t="inlineStr">
        <is>
          <t>Sumac Ridge Cultural Resources Monitoring</t>
        </is>
      </c>
      <c r="C109" s="4" t="inlineStr">
        <is>
          <t>Fixed fee</t>
        </is>
      </c>
      <c r="D109" s="4" t="inlineStr">
        <is>
          <t>Final Reporting/Review</t>
        </is>
      </c>
      <c r="E109" s="4" t="inlineStr">
        <is>
          <t>Donna Herring</t>
        </is>
      </c>
      <c r="F109" s="5" t="n">
        <v>22100</v>
      </c>
      <c r="G109" s="5" t="n">
        <v>17918.68</v>
      </c>
      <c r="H109" s="5" t="n">
        <v>17918.68</v>
      </c>
      <c r="I109" s="5" t="n">
        <v>0</v>
      </c>
      <c r="J109" s="5" t="n">
        <v>22100</v>
      </c>
      <c r="K109" s="6" t="n">
        <v>1</v>
      </c>
      <c r="L109" s="5" t="n">
        <v>33602.1</v>
      </c>
      <c r="M109" s="5" t="n">
        <v>-15683.42</v>
      </c>
      <c r="N109" s="6">
        <f>IF(G109=0,0,L109/G109)</f>
        <v/>
      </c>
      <c r="O109" s="5">
        <f>J109-L109</f>
        <v/>
      </c>
      <c r="P109" s="4" t="inlineStr">
        <is>
          <t>Sierra North</t>
        </is>
      </c>
    </row>
    <row r="110">
      <c r="A110" s="4" t="inlineStr">
        <is>
          <t>24-PC-40782</t>
        </is>
      </c>
      <c r="B110" s="4" t="inlineStr">
        <is>
          <t>Saltgrass Battery Storage - Historic Resources Evaluation</t>
        </is>
      </c>
      <c r="C110" s="4" t="inlineStr">
        <is>
          <t>Time and material</t>
        </is>
      </c>
      <c r="D110" s="4" t="inlineStr">
        <is>
          <t>In Progress</t>
        </is>
      </c>
      <c r="E110" s="4" t="inlineStr">
        <is>
          <t>Alexis Nixon</t>
        </is>
      </c>
      <c r="F110" s="5" t="n">
        <v>48400</v>
      </c>
      <c r="G110" s="5" t="n">
        <v>37137.32</v>
      </c>
      <c r="H110" s="5" t="n">
        <v>37137.32</v>
      </c>
      <c r="I110" s="5" t="n">
        <v>0</v>
      </c>
      <c r="J110" s="5" t="n">
        <v>48400</v>
      </c>
      <c r="K110" s="6" t="n">
        <v>1</v>
      </c>
      <c r="L110" s="5" t="n">
        <v>47362.38</v>
      </c>
      <c r="M110" s="5" t="n">
        <v>-10225.06</v>
      </c>
      <c r="N110" s="6">
        <f>IF(G110=0,0,L110/G110)</f>
        <v/>
      </c>
      <c r="O110" s="5">
        <f>J110-L110</f>
        <v/>
      </c>
      <c r="P110" s="4" t="inlineStr">
        <is>
          <t>Coastal Bend</t>
        </is>
      </c>
    </row>
    <row r="111">
      <c r="A111" s="4" t="inlineStr">
        <is>
          <t>24-PC-40824</t>
        </is>
      </c>
      <c r="B111" s="4" t="inlineStr">
        <is>
          <t>Slate Ridge Water Main Maritime Remote Sensing Survey</t>
        </is>
      </c>
      <c r="C111" s="4" t="inlineStr">
        <is>
          <t>Fixed fee</t>
        </is>
      </c>
      <c r="D111" s="4" t="inlineStr">
        <is>
          <t>Final Reporting/Review</t>
        </is>
      </c>
      <c r="E111" s="4" t="inlineStr">
        <is>
          <t>Duane Ballard</t>
        </is>
      </c>
      <c r="F111" s="5" t="n">
        <v>31800</v>
      </c>
      <c r="G111" s="5" t="n">
        <v>20975.28</v>
      </c>
      <c r="H111" s="5" t="n">
        <v>20975.28</v>
      </c>
      <c r="I111" s="5" t="n">
        <v>0</v>
      </c>
      <c r="J111" s="5" t="n">
        <v>31800</v>
      </c>
      <c r="K111" s="6" t="n">
        <v>1</v>
      </c>
      <c r="L111" s="5" t="n">
        <v>22323.11</v>
      </c>
      <c r="M111" s="5" t="n">
        <v>-1347.830000000002</v>
      </c>
      <c r="N111" s="6">
        <f>IF(G111=0,0,L111/G111)</f>
        <v/>
      </c>
      <c r="O111" s="5">
        <f>J111-L111</f>
        <v/>
      </c>
      <c r="P111" s="4" t="inlineStr">
        <is>
          <t>Coastal Bend</t>
        </is>
      </c>
    </row>
    <row r="112">
      <c r="A112" s="4" t="inlineStr">
        <is>
          <t>24-PC-40888</t>
        </is>
      </c>
      <c r="B112" s="4" t="inlineStr">
        <is>
          <t>Pine Hollow Battery Storage - Archaeological Testing</t>
        </is>
      </c>
      <c r="C112" s="4" t="inlineStr">
        <is>
          <t>Fixed fee</t>
        </is>
      </c>
      <c r="D112" s="4" t="inlineStr">
        <is>
          <t>Lab/Curation</t>
        </is>
      </c>
      <c r="E112" s="4" t="inlineStr">
        <is>
          <t>Diane Daniels</t>
        </is>
      </c>
      <c r="F112" s="5" t="n">
        <v>579300</v>
      </c>
      <c r="G112" s="5" t="n">
        <v>392475.75</v>
      </c>
      <c r="H112" s="5" t="n">
        <v>392475.75</v>
      </c>
      <c r="I112" s="5" t="n">
        <v>0</v>
      </c>
      <c r="J112" s="5" t="n">
        <v>579300</v>
      </c>
      <c r="K112" s="6" t="n">
        <v>1</v>
      </c>
      <c r="L112" s="5" t="n">
        <v>413750.74</v>
      </c>
      <c r="M112" s="5" t="n">
        <v>-21274.98999999999</v>
      </c>
      <c r="N112" s="6">
        <f>IF(G112=0,0,L112/G112)</f>
        <v/>
      </c>
      <c r="O112" s="5">
        <f>J112-L112</f>
        <v/>
      </c>
      <c r="P112" s="4" t="inlineStr">
        <is>
          <t>Coastal Bend</t>
        </is>
      </c>
    </row>
    <row r="113">
      <c r="A113" s="4" t="inlineStr">
        <is>
          <t>24-PC-40956</t>
        </is>
      </c>
      <c r="B113" s="4" t="inlineStr">
        <is>
          <t>Foxglove Airport Apron - Maritime Remote Sensing Survey</t>
        </is>
      </c>
      <c r="C113" s="4" t="inlineStr">
        <is>
          <t>Fixed fee</t>
        </is>
      </c>
      <c r="D113" s="4" t="inlineStr">
        <is>
          <t>In Progress</t>
        </is>
      </c>
      <c r="E113" s="4" t="inlineStr">
        <is>
          <t>Diane Daniels</t>
        </is>
      </c>
      <c r="F113" s="5" t="n">
        <v>8800</v>
      </c>
      <c r="G113" s="5" t="n">
        <v>6914.16</v>
      </c>
      <c r="H113" s="5" t="n">
        <v>6914.16</v>
      </c>
      <c r="I113" s="5" t="n">
        <v>0</v>
      </c>
      <c r="J113" s="5" t="n">
        <v>8800</v>
      </c>
      <c r="K113" s="6" t="n">
        <v>1</v>
      </c>
      <c r="L113" s="5" t="n">
        <v>7269.9</v>
      </c>
      <c r="M113" s="5" t="n">
        <v>-355.7399999999998</v>
      </c>
      <c r="N113" s="6">
        <f>IF(G113=0,0,L113/G113)</f>
        <v/>
      </c>
      <c r="O113" s="5">
        <f>J113-L113</f>
        <v/>
      </c>
      <c r="P113" s="4" t="inlineStr">
        <is>
          <t>Coastal Bend</t>
        </is>
      </c>
    </row>
    <row r="114">
      <c r="A114" s="4" t="inlineStr">
        <is>
          <t>24-PC-41023</t>
        </is>
      </c>
      <c r="B114" s="4" t="inlineStr">
        <is>
          <t>Phase I: Bramble Creek Levee Repair Phase I Survey</t>
        </is>
      </c>
      <c r="C114" s="4" t="inlineStr">
        <is>
          <t>Time and material</t>
        </is>
      </c>
      <c r="D114" s="4" t="inlineStr">
        <is>
          <t>In Progress</t>
        </is>
      </c>
      <c r="E114" s="4" t="inlineStr">
        <is>
          <t>Alexis Nixon</t>
        </is>
      </c>
      <c r="F114" s="5" t="n">
        <v>60600</v>
      </c>
      <c r="G114" s="5" t="n">
        <v>39983.88</v>
      </c>
      <c r="H114" s="5" t="n">
        <v>39983.88</v>
      </c>
      <c r="I114" s="5" t="n">
        <v>0</v>
      </c>
      <c r="J114" s="5" t="n">
        <v>41208</v>
      </c>
      <c r="K114" s="6" t="n">
        <v>0.68</v>
      </c>
      <c r="L114" s="5" t="n">
        <v>31771.04</v>
      </c>
      <c r="M114" s="5" t="n">
        <v>8212.839999999997</v>
      </c>
      <c r="N114" s="6">
        <f>IF(G114=0,0,L114/G114)</f>
        <v/>
      </c>
      <c r="O114" s="5">
        <f>J114-L114</f>
        <v/>
      </c>
      <c r="P114" s="4" t="inlineStr">
        <is>
          <t>Coastal Bend</t>
        </is>
      </c>
    </row>
    <row r="115">
      <c r="A115" s="4" t="inlineStr">
        <is>
          <t>24-PC-41119</t>
        </is>
      </c>
      <c r="B115" s="4" t="inlineStr">
        <is>
          <t>Rushgrass Draw Cultural Resources Assessment</t>
        </is>
      </c>
      <c r="C115" s="4" t="inlineStr">
        <is>
          <t>Fixed fee</t>
        </is>
      </c>
      <c r="D115" s="4" t="inlineStr">
        <is>
          <t>Transferred Entity</t>
        </is>
      </c>
      <c r="E115" s="4" t="inlineStr">
        <is>
          <t>Alexis Nixon</t>
        </is>
      </c>
      <c r="F115" s="5" t="n">
        <v>18000</v>
      </c>
      <c r="G115" s="5" t="n">
        <v>12312</v>
      </c>
      <c r="H115" s="5" t="n">
        <v>12312</v>
      </c>
      <c r="I115" s="5" t="n">
        <v>0</v>
      </c>
      <c r="J115" s="5" t="n">
        <v>18000</v>
      </c>
      <c r="K115" s="6" t="n">
        <v>1</v>
      </c>
      <c r="L115" s="5" t="n">
        <v>22722.22</v>
      </c>
      <c r="M115" s="5" t="n">
        <v>-10410.22</v>
      </c>
      <c r="N115" s="6">
        <f>IF(G115=0,0,L115/G115)</f>
        <v/>
      </c>
      <c r="O115" s="5">
        <f>J115-L115</f>
        <v/>
      </c>
      <c r="P115" s="4" t="inlineStr">
        <is>
          <t>Coastal Bend</t>
        </is>
      </c>
    </row>
    <row r="116">
      <c r="A116" s="4" t="inlineStr">
        <is>
          <t>24-PC-41154</t>
        </is>
      </c>
      <c r="B116" s="4" t="inlineStr">
        <is>
          <t>Lantern Bay Mine Expansion Data Recovery</t>
        </is>
      </c>
      <c r="C116" s="4" t="inlineStr">
        <is>
          <t>Fixed fee</t>
        </is>
      </c>
      <c r="D116" s="4" t="inlineStr">
        <is>
          <t>In Progress</t>
        </is>
      </c>
      <c r="E116" s="4" t="inlineStr">
        <is>
          <t>Alexis Nixon</t>
        </is>
      </c>
      <c r="F116" s="5" t="n">
        <v>194900</v>
      </c>
      <c r="G116" s="5" t="n">
        <v>131089.74</v>
      </c>
      <c r="H116" s="5" t="n">
        <v>131089.74</v>
      </c>
      <c r="I116" s="5" t="n">
        <v>0</v>
      </c>
      <c r="J116" s="5" t="n">
        <v>187591.25</v>
      </c>
      <c r="K116" s="6" t="n">
        <v>0.963</v>
      </c>
      <c r="L116" s="5" t="n">
        <v>126178.41</v>
      </c>
      <c r="M116" s="5" t="n">
        <v>4911.329999999987</v>
      </c>
      <c r="N116" s="6">
        <f>IF(G116=0,0,L116/G116)</f>
        <v/>
      </c>
      <c r="O116" s="5">
        <f>J116-L116</f>
        <v/>
      </c>
      <c r="P116" s="4" t="inlineStr">
        <is>
          <t>Coastal Bend</t>
        </is>
      </c>
    </row>
    <row r="117">
      <c r="A117" s="4" t="inlineStr">
        <is>
          <t>24-PC-42437</t>
        </is>
      </c>
      <c r="B117" s="4" t="inlineStr">
        <is>
          <t>Task Order 36: Wren Hollow Water Main Maritime Remote Sensing Survey</t>
        </is>
      </c>
      <c r="C117" s="4" t="inlineStr">
        <is>
          <t>Time and material</t>
        </is>
      </c>
      <c r="D117" s="4" t="inlineStr">
        <is>
          <t>In Progress</t>
        </is>
      </c>
      <c r="E117" s="4" t="inlineStr">
        <is>
          <t>Charlene Sparks</t>
        </is>
      </c>
      <c r="F117" s="5" t="n">
        <v>263500</v>
      </c>
      <c r="G117" s="5" t="n">
        <v>173567.45</v>
      </c>
      <c r="H117" s="5" t="n">
        <v>173567.45</v>
      </c>
      <c r="I117" s="5" t="n">
        <v>0</v>
      </c>
      <c r="J117" s="5" t="n">
        <v>179180</v>
      </c>
      <c r="K117" s="6" t="n">
        <v>0.68</v>
      </c>
      <c r="L117" s="5" t="n">
        <v>177335</v>
      </c>
      <c r="M117" s="5" t="n">
        <v>-3767.549999999988</v>
      </c>
      <c r="N117" s="6">
        <f>IF(G117=0,0,L117/G117)</f>
        <v/>
      </c>
      <c r="O117" s="5">
        <f>J117-L117</f>
        <v/>
      </c>
      <c r="P117" s="4" t="inlineStr">
        <is>
          <t>Paleontology</t>
        </is>
      </c>
    </row>
    <row r="118">
      <c r="A118" s="4" t="inlineStr">
        <is>
          <t>24-PC-43044</t>
        </is>
      </c>
      <c r="B118" s="4" t="inlineStr">
        <is>
          <t>Plover Cove Airport Apron Historic Resources Evaluation</t>
        </is>
      </c>
      <c r="C118" s="4" t="inlineStr">
        <is>
          <t>Fixed fee</t>
        </is>
      </c>
      <c r="D118" s="4" t="inlineStr">
        <is>
          <t>In Progress</t>
        </is>
      </c>
      <c r="E118" s="4" t="inlineStr">
        <is>
          <t>Sylvia Callahan</t>
        </is>
      </c>
      <c r="F118" s="5" t="n">
        <v>639100</v>
      </c>
      <c r="G118" s="5" t="n">
        <v>498050.63</v>
      </c>
      <c r="H118" s="5" t="n">
        <v>498050.63</v>
      </c>
      <c r="I118" s="5" t="n">
        <v>0</v>
      </c>
      <c r="J118" s="5" t="n">
        <v>451268.51</v>
      </c>
      <c r="K118" s="6" t="n">
        <v>0.706</v>
      </c>
      <c r="L118" s="5" t="n">
        <v>351673.07</v>
      </c>
      <c r="M118" s="5" t="n">
        <v>146377.56</v>
      </c>
      <c r="N118" s="6">
        <f>IF(G118=0,0,L118/G118)</f>
        <v/>
      </c>
      <c r="O118" s="5">
        <f>J118-L118</f>
        <v/>
      </c>
      <c r="P118" s="4" t="inlineStr">
        <is>
          <t>Geospatial</t>
        </is>
      </c>
    </row>
    <row r="119">
      <c r="A119" s="4" t="inlineStr">
        <is>
          <t>24-PC-43157</t>
        </is>
      </c>
      <c r="B119" s="4" t="inlineStr">
        <is>
          <t>Thistle Down Solar - Maritime Remote Sensing Survey</t>
        </is>
      </c>
      <c r="C119" s="4" t="inlineStr">
        <is>
          <t>Time and material</t>
        </is>
      </c>
      <c r="D119" s="4" t="inlineStr">
        <is>
          <t>In Progress</t>
        </is>
      </c>
      <c r="E119" s="4" t="inlineStr">
        <is>
          <t>Sylvia Callahan</t>
        </is>
      </c>
      <c r="F119" s="5" t="n">
        <v>19700</v>
      </c>
      <c r="G119" s="5" t="n">
        <v>14170.21</v>
      </c>
      <c r="H119" s="5" t="n">
        <v>14170.21</v>
      </c>
      <c r="I119" s="5" t="n">
        <v>0</v>
      </c>
      <c r="J119" s="5" t="n">
        <v>13396</v>
      </c>
      <c r="K119" s="6" t="n">
        <v>0.68</v>
      </c>
      <c r="L119" s="5" t="n">
        <v>18919.28</v>
      </c>
      <c r="M119" s="5" t="n">
        <v>-4749.07</v>
      </c>
      <c r="N119" s="6">
        <f>IF(G119=0,0,L119/G119)</f>
        <v/>
      </c>
      <c r="O119" s="5">
        <f>J119-L119</f>
        <v/>
      </c>
      <c r="P119" s="4" t="inlineStr">
        <is>
          <t>Geospatial</t>
        </is>
      </c>
    </row>
    <row r="120">
      <c r="A120" s="4" t="inlineStr">
        <is>
          <t>24-PC-43715</t>
        </is>
      </c>
      <c r="B120" s="4" t="inlineStr">
        <is>
          <t>Tamarack Fiber Route - Cultural Resources Monitoring</t>
        </is>
      </c>
      <c r="C120" s="4" t="inlineStr">
        <is>
          <t>Time and material</t>
        </is>
      </c>
      <c r="D120" s="4" t="inlineStr">
        <is>
          <t>In Progress</t>
        </is>
      </c>
      <c r="E120" s="4" t="inlineStr">
        <is>
          <t>Lynn Tran</t>
        </is>
      </c>
      <c r="F120" s="5" t="n">
        <v>1003600</v>
      </c>
      <c r="G120" s="5" t="n">
        <v>771166.24</v>
      </c>
      <c r="H120" s="5" t="n">
        <v>771166.24</v>
      </c>
      <c r="I120" s="5" t="n">
        <v>0</v>
      </c>
      <c r="J120" s="5" t="n">
        <v>682448</v>
      </c>
      <c r="K120" s="6" t="n">
        <v>0.68</v>
      </c>
      <c r="L120" s="5" t="n">
        <v>614867.84</v>
      </c>
      <c r="M120" s="5" t="n">
        <v>156298.4</v>
      </c>
      <c r="N120" s="6">
        <f>IF(G120=0,0,L120/G120)</f>
        <v/>
      </c>
      <c r="O120" s="5">
        <f>J120-L120</f>
        <v/>
      </c>
      <c r="P120" s="4" t="inlineStr">
        <is>
          <t>Meridian Southwest</t>
        </is>
      </c>
    </row>
    <row r="121">
      <c r="A121" s="4" t="inlineStr">
        <is>
          <t>24-PC-43877</t>
        </is>
      </c>
      <c r="B121" s="4" t="inlineStr">
        <is>
          <t>Wren Hollow Canal Lining Maritime Remote Sensing Survey</t>
        </is>
      </c>
      <c r="C121" s="4" t="inlineStr">
        <is>
          <t>Fixed fee</t>
        </is>
      </c>
      <c r="D121" s="4" t="inlineStr">
        <is>
          <t>Transferred Entity</t>
        </is>
      </c>
      <c r="E121" s="4" t="inlineStr">
        <is>
          <t>Vanessa Duarte</t>
        </is>
      </c>
      <c r="F121" s="5" t="n">
        <v>213100</v>
      </c>
      <c r="G121" s="5" t="n">
        <v>187528</v>
      </c>
      <c r="H121" s="5" t="n">
        <v>187528</v>
      </c>
      <c r="I121" s="5" t="n">
        <v>0</v>
      </c>
      <c r="J121" s="5" t="n">
        <v>152792.6986666667</v>
      </c>
      <c r="K121" s="6" t="n">
        <v>0.7169999937431566</v>
      </c>
      <c r="L121" s="5" t="n">
        <v>134454.77</v>
      </c>
      <c r="M121" s="5" t="n">
        <v>53073.23000000001</v>
      </c>
      <c r="N121" s="6">
        <f>IF(G121=0,0,L121/G121)</f>
        <v/>
      </c>
      <c r="O121" s="5">
        <f>J121-L121</f>
        <v/>
      </c>
      <c r="P121" s="4" t="inlineStr">
        <is>
          <t>NH Gulf (USD)</t>
        </is>
      </c>
    </row>
    <row r="122">
      <c r="A122" s="4" t="inlineStr">
        <is>
          <t>24-PC-44113</t>
        </is>
      </c>
      <c r="B122" s="4" t="inlineStr">
        <is>
          <t>Cedar Hollow Airport Apron - Paleontological Monitoring</t>
        </is>
      </c>
      <c r="C122" s="4" t="inlineStr">
        <is>
          <t>Time and material</t>
        </is>
      </c>
      <c r="D122" s="4" t="inlineStr">
        <is>
          <t>Transferred Entity</t>
        </is>
      </c>
      <c r="E122" s="4" t="inlineStr">
        <is>
          <t>Susan Wilkins</t>
        </is>
      </c>
      <c r="F122" s="5" t="n">
        <v>264500</v>
      </c>
      <c r="G122" s="5" t="n">
        <v>194222.35</v>
      </c>
      <c r="H122" s="5" t="n">
        <v>194222.35</v>
      </c>
      <c r="I122" s="5" t="n">
        <v>0</v>
      </c>
      <c r="J122" s="5" t="n">
        <v>264500</v>
      </c>
      <c r="K122" s="6" t="n">
        <v>1</v>
      </c>
      <c r="L122" s="5" t="n">
        <v>246339.6193333333</v>
      </c>
      <c r="M122" s="5" t="n">
        <v>-52117.26933333333</v>
      </c>
      <c r="N122" s="6">
        <f>IF(G122=0,0,L122/G122)</f>
        <v/>
      </c>
      <c r="O122" s="5">
        <f>J122-L122</f>
        <v/>
      </c>
      <c r="P122" s="4" t="inlineStr">
        <is>
          <t>NH Gulf (USD)</t>
        </is>
      </c>
    </row>
    <row r="123">
      <c r="A123" s="4" t="inlineStr">
        <is>
          <t>24-PC-44158</t>
        </is>
      </c>
      <c r="B123" s="4" t="inlineStr">
        <is>
          <t>Saltgrass Environmental Review Support</t>
        </is>
      </c>
      <c r="C123" s="4" t="inlineStr">
        <is>
          <t>Fixed fee</t>
        </is>
      </c>
      <c r="D123" s="4" t="inlineStr">
        <is>
          <t>Transferred Entity</t>
        </is>
      </c>
      <c r="E123" s="4" t="inlineStr">
        <is>
          <t>Vanessa Duarte</t>
        </is>
      </c>
      <c r="F123" s="5" t="n">
        <v>23200</v>
      </c>
      <c r="G123" s="5" t="n">
        <v>15583.44</v>
      </c>
      <c r="H123" s="5" t="n">
        <v>15583.44</v>
      </c>
      <c r="I123" s="5" t="n">
        <v>0</v>
      </c>
      <c r="J123" s="5" t="n">
        <v>23200</v>
      </c>
      <c r="K123" s="6" t="n">
        <v>1</v>
      </c>
      <c r="L123" s="5" t="n">
        <v>16044.04</v>
      </c>
      <c r="M123" s="5" t="n">
        <v>-460.6000000000004</v>
      </c>
      <c r="N123" s="6">
        <f>IF(G123=0,0,L123/G123)</f>
        <v/>
      </c>
      <c r="O123" s="5">
        <f>J123-L123</f>
        <v/>
      </c>
      <c r="P123" s="4" t="inlineStr">
        <is>
          <t>NH Gulf (USD)</t>
        </is>
      </c>
    </row>
    <row r="124">
      <c r="A124" s="4" t="inlineStr">
        <is>
          <t>25-PC-30345</t>
        </is>
      </c>
      <c r="B124" s="4" t="inlineStr">
        <is>
          <t>Wildrye Phase II Testing</t>
        </is>
      </c>
      <c r="C124" s="4" t="inlineStr">
        <is>
          <t>Fixed fee</t>
        </is>
      </c>
      <c r="D124" s="4" t="inlineStr">
        <is>
          <t>In Progress</t>
        </is>
      </c>
      <c r="E124" s="4" t="inlineStr">
        <is>
          <t>Brendan Melton</t>
        </is>
      </c>
      <c r="F124" s="5" t="n">
        <v>160400</v>
      </c>
      <c r="G124" s="5" t="n">
        <v>92631</v>
      </c>
      <c r="H124" s="5" t="n">
        <v>92631</v>
      </c>
      <c r="I124" s="5" t="n">
        <v>0</v>
      </c>
      <c r="J124" s="5" t="n">
        <v>130998.68</v>
      </c>
      <c r="K124" s="6" t="n">
        <v>0.8169999999999999</v>
      </c>
      <c r="L124" s="5" t="n">
        <v>75656.14</v>
      </c>
      <c r="M124" s="5" t="n">
        <v>16974.86</v>
      </c>
      <c r="N124" s="6">
        <f>IF(G124=0,0,L124/G124)</f>
        <v/>
      </c>
      <c r="O124" s="5">
        <f>J124-L124</f>
        <v/>
      </c>
      <c r="P124" s="4" t="inlineStr">
        <is>
          <t>Big Sky</t>
        </is>
      </c>
    </row>
    <row r="125">
      <c r="A125" s="4" t="inlineStr">
        <is>
          <t>25-PC-30581</t>
        </is>
      </c>
      <c r="B125" s="4" t="inlineStr">
        <is>
          <t>Phase II: Foxglove Harbor Dredging Data Recovery</t>
        </is>
      </c>
      <c r="C125" s="4" t="inlineStr">
        <is>
          <t>Fixed fee</t>
        </is>
      </c>
      <c r="D125" s="4" t="inlineStr">
        <is>
          <t>In Progress</t>
        </is>
      </c>
      <c r="E125" s="4" t="inlineStr">
        <is>
          <t>Alice Galloway</t>
        </is>
      </c>
      <c r="F125" s="5" t="n">
        <v>19700</v>
      </c>
      <c r="G125" s="5" t="n">
        <v>13027.61</v>
      </c>
      <c r="H125" s="5" t="n">
        <v>13027.61</v>
      </c>
      <c r="I125" s="5" t="n">
        <v>0</v>
      </c>
      <c r="J125" s="5" t="n">
        <v>19700</v>
      </c>
      <c r="K125" s="6" t="n">
        <v>1</v>
      </c>
      <c r="L125" s="5" t="n">
        <v>13683.52</v>
      </c>
      <c r="M125" s="5" t="n">
        <v>-655.9099999999999</v>
      </c>
      <c r="N125" s="6">
        <f>IF(G125=0,0,L125/G125)</f>
        <v/>
      </c>
      <c r="O125" s="5">
        <f>J125-L125</f>
        <v/>
      </c>
      <c r="P125" s="4" t="inlineStr">
        <is>
          <t>Bluegrass</t>
        </is>
      </c>
    </row>
    <row r="126">
      <c r="A126" s="4" t="inlineStr">
        <is>
          <t>25-PC-30772</t>
        </is>
      </c>
      <c r="B126" s="4" t="inlineStr">
        <is>
          <t>Sea Oat Cultural Resources Assessment</t>
        </is>
      </c>
      <c r="C126" s="4" t="inlineStr">
        <is>
          <t>Fixed fee</t>
        </is>
      </c>
      <c r="D126" s="4" t="inlineStr">
        <is>
          <t>In Progress</t>
        </is>
      </c>
      <c r="E126" s="4" t="inlineStr">
        <is>
          <t>Alice Galloway</t>
        </is>
      </c>
      <c r="F126" s="5" t="n">
        <v>63300</v>
      </c>
      <c r="G126" s="5" t="n">
        <v>43065.84</v>
      </c>
      <c r="H126" s="5" t="n">
        <v>35870.85</v>
      </c>
      <c r="I126" s="5" t="n">
        <v>7194.99</v>
      </c>
      <c r="J126" s="5" t="n">
        <v>63300</v>
      </c>
      <c r="K126" s="6" t="n">
        <v>1</v>
      </c>
      <c r="L126" s="5" t="n">
        <v>56416.91</v>
      </c>
      <c r="M126" s="5" t="n">
        <v>-13351.07000000001</v>
      </c>
      <c r="N126" s="6">
        <f>IF(G126=0,0,L126/G126)</f>
        <v/>
      </c>
      <c r="O126" s="5">
        <f>J126-L126</f>
        <v/>
      </c>
      <c r="P126" s="4" t="inlineStr">
        <is>
          <t>Bluegrass</t>
        </is>
      </c>
    </row>
    <row r="127">
      <c r="A127" s="4" t="inlineStr">
        <is>
          <t>25-PC-30803</t>
        </is>
      </c>
      <c r="B127" s="4" t="inlineStr">
        <is>
          <t>Saltgrass Cell Tower Built Environment Survey</t>
        </is>
      </c>
      <c r="C127" s="4" t="inlineStr">
        <is>
          <t>Fixed fee</t>
        </is>
      </c>
      <c r="D127" s="4" t="inlineStr">
        <is>
          <t>In Progress</t>
        </is>
      </c>
      <c r="E127" s="4" t="inlineStr">
        <is>
          <t>Alice Galloway</t>
        </is>
      </c>
      <c r="F127" s="5" t="n">
        <v>131000</v>
      </c>
      <c r="G127" s="5" t="n">
        <v>85464.39999999999</v>
      </c>
      <c r="H127" s="5" t="n">
        <v>85464.39999999999</v>
      </c>
      <c r="I127" s="5" t="n">
        <v>0</v>
      </c>
      <c r="J127" s="5" t="n">
        <v>131000</v>
      </c>
      <c r="K127" s="6" t="n">
        <v>1</v>
      </c>
      <c r="L127" s="5" t="n">
        <v>90183.89999999999</v>
      </c>
      <c r="M127" s="5" t="n">
        <v>-4719.5</v>
      </c>
      <c r="N127" s="6">
        <f>IF(G127=0,0,L127/G127)</f>
        <v/>
      </c>
      <c r="O127" s="5">
        <f>J127-L127</f>
        <v/>
      </c>
      <c r="P127" s="4" t="inlineStr">
        <is>
          <t>Bluegrass</t>
        </is>
      </c>
    </row>
    <row r="128">
      <c r="A128" s="4" t="inlineStr">
        <is>
          <t>25-PC-31109</t>
        </is>
      </c>
      <c r="B128" s="4" t="inlineStr">
        <is>
          <t>Riverbend GIS Mapping</t>
        </is>
      </c>
      <c r="C128" s="4" t="inlineStr">
        <is>
          <t>Time and material</t>
        </is>
      </c>
      <c r="D128" s="4" t="inlineStr">
        <is>
          <t>In Progress</t>
        </is>
      </c>
      <c r="E128" s="4" t="inlineStr">
        <is>
          <t>Cassidy Gay</t>
        </is>
      </c>
      <c r="F128" s="5" t="n">
        <v>174700</v>
      </c>
      <c r="G128" s="5" t="n">
        <v>109484.49</v>
      </c>
      <c r="H128" s="5" t="n">
        <v>109484.49</v>
      </c>
      <c r="I128" s="5" t="n">
        <v>0</v>
      </c>
      <c r="J128" s="5" t="n">
        <v>174700</v>
      </c>
      <c r="K128" s="6" t="n">
        <v>1</v>
      </c>
      <c r="L128" s="5" t="n">
        <v>162892.26</v>
      </c>
      <c r="M128" s="5" t="n">
        <v>-53407.77</v>
      </c>
      <c r="N128" s="6">
        <f>IF(G128=0,0,L128/G128)</f>
        <v/>
      </c>
      <c r="O128" s="5">
        <f>J128-L128</f>
        <v/>
      </c>
      <c r="P128" s="4" t="inlineStr">
        <is>
          <t>Cascade</t>
        </is>
      </c>
    </row>
    <row r="129">
      <c r="A129" s="4" t="inlineStr">
        <is>
          <t>25-PC-31114</t>
        </is>
      </c>
      <c r="B129" s="4" t="inlineStr">
        <is>
          <t>Granite Pass Built Environment Survey</t>
        </is>
      </c>
      <c r="C129" s="4" t="inlineStr">
        <is>
          <t>Time and material</t>
        </is>
      </c>
      <c r="D129" s="4" t="inlineStr">
        <is>
          <t>In Progress</t>
        </is>
      </c>
      <c r="E129" s="4" t="inlineStr">
        <is>
          <t>Jean Cooke</t>
        </is>
      </c>
      <c r="F129" s="5" t="n">
        <v>229400</v>
      </c>
      <c r="G129" s="5" t="n">
        <v>157964.84</v>
      </c>
      <c r="H129" s="5" t="n">
        <v>157964.84</v>
      </c>
      <c r="I129" s="5" t="n">
        <v>0</v>
      </c>
      <c r="J129" s="5" t="n">
        <v>179308.8</v>
      </c>
      <c r="K129" s="6" t="n">
        <v>0.782</v>
      </c>
      <c r="L129" s="5" t="n">
        <v>127618.8</v>
      </c>
      <c r="M129" s="5" t="n">
        <v>30346.03999999999</v>
      </c>
      <c r="N129" s="6">
        <f>IF(G129=0,0,L129/G129)</f>
        <v/>
      </c>
      <c r="O129" s="5">
        <f>J129-L129</f>
        <v/>
      </c>
      <c r="P129" s="4" t="inlineStr">
        <is>
          <t>Cascade</t>
        </is>
      </c>
    </row>
    <row r="130">
      <c r="A130" s="4" t="inlineStr">
        <is>
          <t>25-PC-31180</t>
        </is>
      </c>
      <c r="B130" s="4" t="inlineStr">
        <is>
          <t>Blue Heron Environmental Review Support</t>
        </is>
      </c>
      <c r="C130" s="4" t="inlineStr">
        <is>
          <t>Fixed fee</t>
        </is>
      </c>
      <c r="D130" s="4" t="inlineStr">
        <is>
          <t>In Progress</t>
        </is>
      </c>
      <c r="E130" s="4" t="inlineStr">
        <is>
          <t>Preston Duarte</t>
        </is>
      </c>
      <c r="F130" s="5" t="n">
        <v>80000</v>
      </c>
      <c r="G130" s="5" t="n">
        <v>60701.89</v>
      </c>
      <c r="H130" s="5" t="n">
        <v>45712.3</v>
      </c>
      <c r="I130" s="5" t="n">
        <v>14989.59</v>
      </c>
      <c r="J130" s="5" t="n">
        <v>80000</v>
      </c>
      <c r="K130" s="6" t="n">
        <v>1</v>
      </c>
      <c r="L130" s="5" t="n">
        <v>64096.36</v>
      </c>
      <c r="M130" s="5" t="n">
        <v>-3394.470000000001</v>
      </c>
      <c r="N130" s="6">
        <f>IF(G130=0,0,L130/G130)</f>
        <v/>
      </c>
      <c r="O130" s="5">
        <f>J130-L130</f>
        <v/>
      </c>
      <c r="P130" s="4" t="inlineStr">
        <is>
          <t>Cascade</t>
        </is>
      </c>
    </row>
    <row r="131">
      <c r="A131" s="4" t="inlineStr">
        <is>
          <t>25-PC-31330</t>
        </is>
      </c>
      <c r="B131" s="4" t="inlineStr">
        <is>
          <t>Phase I: Kestrel Butte Substation Data Recovery</t>
        </is>
      </c>
      <c r="C131" s="4" t="inlineStr">
        <is>
          <t>Fixed fee</t>
        </is>
      </c>
      <c r="D131" s="4" t="inlineStr">
        <is>
          <t>Lab/Curation</t>
        </is>
      </c>
      <c r="E131" s="4" t="inlineStr">
        <is>
          <t>Donald Lutz</t>
        </is>
      </c>
      <c r="F131" s="5" t="n">
        <v>23500</v>
      </c>
      <c r="G131" s="5" t="n">
        <v>17263.1</v>
      </c>
      <c r="H131" s="5" t="n">
        <v>17263.1</v>
      </c>
      <c r="I131" s="5" t="n">
        <v>0</v>
      </c>
      <c r="J131" s="5" t="n">
        <v>23500</v>
      </c>
      <c r="K131" s="6" t="n">
        <v>1</v>
      </c>
      <c r="L131" s="5" t="n">
        <v>22123.1</v>
      </c>
      <c r="M131" s="5" t="n">
        <v>-4860</v>
      </c>
      <c r="N131" s="6">
        <f>IF(G131=0,0,L131/G131)</f>
        <v/>
      </c>
      <c r="O131" s="5">
        <f>J131-L131</f>
        <v/>
      </c>
      <c r="P131" s="4" t="inlineStr">
        <is>
          <t>Cascade</t>
        </is>
      </c>
    </row>
    <row r="132">
      <c r="A132" s="4" t="inlineStr">
        <is>
          <t>25-PC-31417</t>
        </is>
      </c>
      <c r="B132" s="4" t="inlineStr">
        <is>
          <t>Sandpiper Park Improvements Phase I Survey</t>
        </is>
      </c>
      <c r="C132" s="4" t="inlineStr">
        <is>
          <t>Fixed fee</t>
        </is>
      </c>
      <c r="D132" s="4" t="inlineStr">
        <is>
          <t>In Progress</t>
        </is>
      </c>
      <c r="E132" s="4" t="inlineStr">
        <is>
          <t>Cassidy Gay</t>
        </is>
      </c>
      <c r="F132" s="5" t="n">
        <v>52000</v>
      </c>
      <c r="G132" s="5" t="n">
        <v>38781.6</v>
      </c>
      <c r="H132" s="5" t="n">
        <v>38781.6</v>
      </c>
      <c r="I132" s="5" t="n">
        <v>0</v>
      </c>
      <c r="J132" s="5" t="n">
        <v>52000</v>
      </c>
      <c r="K132" s="6" t="n">
        <v>1</v>
      </c>
      <c r="L132" s="5" t="n">
        <v>51500.29</v>
      </c>
      <c r="M132" s="5" t="n">
        <v>-12718.69</v>
      </c>
      <c r="N132" s="6">
        <f>IF(G132=0,0,L132/G132)</f>
        <v/>
      </c>
      <c r="O132" s="5">
        <f>J132-L132</f>
        <v/>
      </c>
      <c r="P132" s="4" t="inlineStr">
        <is>
          <t>Cascade</t>
        </is>
      </c>
    </row>
    <row r="133">
      <c r="A133" s="4" t="inlineStr">
        <is>
          <t>25-PC-31555</t>
        </is>
      </c>
      <c r="B133" s="4" t="inlineStr">
        <is>
          <t>Wren Hollow Architectural History Survey</t>
        </is>
      </c>
      <c r="C133" s="4" t="inlineStr">
        <is>
          <t>Fixed fee</t>
        </is>
      </c>
      <c r="D133" s="4" t="inlineStr">
        <is>
          <t>In Progress</t>
        </is>
      </c>
      <c r="E133" s="4" t="inlineStr">
        <is>
          <t>Gene Nixon</t>
        </is>
      </c>
      <c r="F133" s="5" t="n">
        <v>69300</v>
      </c>
      <c r="G133" s="5" t="n">
        <v>53097.66</v>
      </c>
      <c r="H133" s="5" t="n">
        <v>53097.66</v>
      </c>
      <c r="I133" s="5" t="n">
        <v>0</v>
      </c>
      <c r="J133" s="5" t="n">
        <v>66417.12</v>
      </c>
      <c r="K133" s="6" t="n">
        <v>0.958</v>
      </c>
      <c r="L133" s="5" t="n">
        <v>50888.1</v>
      </c>
      <c r="M133" s="5" t="n">
        <v>2209.560000000005</v>
      </c>
      <c r="N133" s="6">
        <f>IF(G133=0,0,L133/G133)</f>
        <v/>
      </c>
      <c r="O133" s="5">
        <f>J133-L133</f>
        <v/>
      </c>
      <c r="P133" s="4" t="inlineStr">
        <is>
          <t>Cascade</t>
        </is>
      </c>
    </row>
    <row r="134">
      <c r="A134" s="4" t="inlineStr">
        <is>
          <t>25-PC-31590</t>
        </is>
      </c>
      <c r="B134" s="4" t="inlineStr">
        <is>
          <t>Task Order 11: Kestrel Butte Mine Expansion Cultural Resources Monitoring</t>
        </is>
      </c>
      <c r="C134" s="4" t="inlineStr">
        <is>
          <t>Fixed fee</t>
        </is>
      </c>
      <c r="D134" s="4" t="inlineStr">
        <is>
          <t>In Progress</t>
        </is>
      </c>
      <c r="E134" s="4" t="inlineStr">
        <is>
          <t>Jean Cooke</t>
        </is>
      </c>
      <c r="F134" s="5" t="n">
        <v>16800</v>
      </c>
      <c r="G134" s="5" t="n">
        <v>11810.4</v>
      </c>
      <c r="H134" s="5" t="n">
        <v>11810.4</v>
      </c>
      <c r="I134" s="5" t="n">
        <v>0</v>
      </c>
      <c r="J134" s="5" t="n">
        <v>16800</v>
      </c>
      <c r="K134" s="6" t="n">
        <v>1</v>
      </c>
      <c r="L134" s="5" t="n">
        <v>15531.6</v>
      </c>
      <c r="M134" s="5" t="n">
        <v>-3721.200000000001</v>
      </c>
      <c r="N134" s="6">
        <f>IF(G134=0,0,L134/G134)</f>
        <v/>
      </c>
      <c r="O134" s="5">
        <f>J134-L134</f>
        <v/>
      </c>
      <c r="P134" s="4" t="inlineStr">
        <is>
          <t>Cascade</t>
        </is>
      </c>
    </row>
    <row r="135">
      <c r="A135" s="4" t="inlineStr">
        <is>
          <t>25-PC-31616</t>
        </is>
      </c>
      <c r="B135" s="4" t="inlineStr">
        <is>
          <t>On-Call: Foxglove Fiber Route GIS Mapping</t>
        </is>
      </c>
      <c r="C135" s="4" t="inlineStr">
        <is>
          <t>Time and material</t>
        </is>
      </c>
      <c r="D135" s="4" t="inlineStr">
        <is>
          <t>Final Reporting/Review</t>
        </is>
      </c>
      <c r="E135" s="4" t="inlineStr">
        <is>
          <t>Jeff Spence</t>
        </is>
      </c>
      <c r="F135" s="5" t="n">
        <v>30300</v>
      </c>
      <c r="G135" s="5" t="n">
        <v>22049.31</v>
      </c>
      <c r="H135" s="5" t="n">
        <v>22049.31</v>
      </c>
      <c r="I135" s="5" t="n">
        <v>0</v>
      </c>
      <c r="J135" s="5" t="n">
        <v>30300</v>
      </c>
      <c r="K135" s="6" t="n">
        <v>1</v>
      </c>
      <c r="L135" s="5" t="n">
        <v>34568.28</v>
      </c>
      <c r="M135" s="5" t="n">
        <v>-12518.97</v>
      </c>
      <c r="N135" s="6">
        <f>IF(G135=0,0,L135/G135)</f>
        <v/>
      </c>
      <c r="O135" s="5">
        <f>J135-L135</f>
        <v/>
      </c>
      <c r="P135" s="4" t="inlineStr">
        <is>
          <t>Cascade</t>
        </is>
      </c>
    </row>
    <row r="136">
      <c r="A136" s="4" t="inlineStr">
        <is>
          <t>25-PC-31784</t>
        </is>
      </c>
      <c r="B136" s="4" t="inlineStr">
        <is>
          <t>On-Call: Badger Hollow Pipeline Archaeological Testing</t>
        </is>
      </c>
      <c r="C136" s="4" t="inlineStr">
        <is>
          <t>Fixed fee</t>
        </is>
      </c>
      <c r="D136" s="4" t="inlineStr">
        <is>
          <t>In Progress</t>
        </is>
      </c>
      <c r="E136" s="4" t="inlineStr">
        <is>
          <t>Preston Duarte</t>
        </is>
      </c>
      <c r="F136" s="5" t="n">
        <v>216800</v>
      </c>
      <c r="G136" s="5" t="n">
        <v>171337.04</v>
      </c>
      <c r="H136" s="5" t="n">
        <v>171337.04</v>
      </c>
      <c r="I136" s="5" t="n">
        <v>0</v>
      </c>
      <c r="J136" s="5" t="n">
        <v>216800</v>
      </c>
      <c r="K136" s="6" t="n">
        <v>1</v>
      </c>
      <c r="L136" s="5" t="n">
        <v>185663.62</v>
      </c>
      <c r="M136" s="5" t="n">
        <v>-14326.57999999999</v>
      </c>
      <c r="N136" s="6">
        <f>IF(G136=0,0,L136/G136)</f>
        <v/>
      </c>
      <c r="O136" s="5">
        <f>J136-L136</f>
        <v/>
      </c>
      <c r="P136" s="4" t="inlineStr">
        <is>
          <t>Cascade</t>
        </is>
      </c>
    </row>
    <row r="137">
      <c r="A137" s="4" t="inlineStr">
        <is>
          <t>25-PC-31895</t>
        </is>
      </c>
      <c r="B137" s="4" t="inlineStr">
        <is>
          <t>Task Order 27: Hawk Point Pipeline Data Recovery</t>
        </is>
      </c>
      <c r="C137" s="4" t="inlineStr">
        <is>
          <t>Time and material</t>
        </is>
      </c>
      <c r="D137" s="4" t="inlineStr">
        <is>
          <t>Cost Tracking on Closed Project</t>
        </is>
      </c>
      <c r="E137" s="4" t="inlineStr">
        <is>
          <t>Donald Lutz</t>
        </is>
      </c>
      <c r="F137" s="5" t="n">
        <v>40900</v>
      </c>
      <c r="G137" s="5" t="n">
        <v>28728.16</v>
      </c>
      <c r="H137" s="5" t="n">
        <v>28728.16</v>
      </c>
      <c r="I137" s="5" t="n">
        <v>0</v>
      </c>
      <c r="J137" s="5" t="n">
        <v>13987.8</v>
      </c>
      <c r="K137" s="6" t="n">
        <v>0.342</v>
      </c>
      <c r="L137" s="5" t="n">
        <v>33002.57</v>
      </c>
      <c r="M137" s="5" t="n">
        <v>-4274.41</v>
      </c>
      <c r="N137" s="6">
        <f>IF(G137=0,0,L137/G137)</f>
        <v/>
      </c>
      <c r="O137" s="5">
        <f>J137-L137</f>
        <v/>
      </c>
      <c r="P137" s="4" t="inlineStr">
        <is>
          <t>Cascade</t>
        </is>
      </c>
    </row>
    <row r="138">
      <c r="A138" s="4" t="inlineStr">
        <is>
          <t>25-PC-31961</t>
        </is>
      </c>
      <c r="B138" s="4" t="inlineStr">
        <is>
          <t>Sandpiper Canal Lining - Phase I Survey</t>
        </is>
      </c>
      <c r="C138" s="4" t="inlineStr">
        <is>
          <t>Time and material</t>
        </is>
      </c>
      <c r="D138" s="4" t="inlineStr">
        <is>
          <t>Final Reporting/Review</t>
        </is>
      </c>
      <c r="E138" s="4" t="inlineStr">
        <is>
          <t>Jason Oconnor</t>
        </is>
      </c>
      <c r="F138" s="5" t="n">
        <v>35200</v>
      </c>
      <c r="G138" s="5" t="n">
        <v>24481.6</v>
      </c>
      <c r="H138" s="5" t="n">
        <v>24481.6</v>
      </c>
      <c r="I138" s="5" t="n">
        <v>0</v>
      </c>
      <c r="J138" s="5" t="n">
        <v>35200</v>
      </c>
      <c r="K138" s="6" t="n">
        <v>1</v>
      </c>
      <c r="L138" s="5" t="n">
        <v>39794.35</v>
      </c>
      <c r="M138" s="5" t="n">
        <v>-15312.75</v>
      </c>
      <c r="N138" s="6">
        <f>IF(G138=0,0,L138/G138)</f>
        <v/>
      </c>
      <c r="O138" s="5">
        <f>J138-L138</f>
        <v/>
      </c>
      <c r="P138" s="4" t="inlineStr">
        <is>
          <t>Chesapeake</t>
        </is>
      </c>
    </row>
    <row r="139">
      <c r="A139" s="4" t="inlineStr">
        <is>
          <t>25-PC-32024</t>
        </is>
      </c>
      <c r="B139" s="4" t="inlineStr">
        <is>
          <t>Pine Hollow Historic Resources Evaluation</t>
        </is>
      </c>
      <c r="C139" s="4" t="inlineStr">
        <is>
          <t>Time and material</t>
        </is>
      </c>
      <c r="D139" s="4" t="inlineStr">
        <is>
          <t>In Progress</t>
        </is>
      </c>
      <c r="E139" s="4" t="inlineStr">
        <is>
          <t>Ian Maddox</t>
        </is>
      </c>
      <c r="F139" s="5" t="n">
        <v>79500</v>
      </c>
      <c r="G139" s="5" t="n">
        <v>57637.5</v>
      </c>
      <c r="H139" s="5" t="n">
        <v>57637.5</v>
      </c>
      <c r="I139" s="5" t="n">
        <v>0</v>
      </c>
      <c r="J139" s="5" t="n">
        <v>57058</v>
      </c>
      <c r="K139" s="6" t="n">
        <v>0.718</v>
      </c>
      <c r="L139" s="5" t="n">
        <v>41962.52</v>
      </c>
      <c r="M139" s="5" t="n">
        <v>15674.98</v>
      </c>
      <c r="N139" s="6">
        <f>IF(G139=0,0,L139/G139)</f>
        <v/>
      </c>
      <c r="O139" s="5">
        <f>J139-L139</f>
        <v/>
      </c>
      <c r="P139" s="4" t="inlineStr">
        <is>
          <t>Chesapeake</t>
        </is>
      </c>
    </row>
    <row r="140">
      <c r="A140" s="4" t="inlineStr">
        <is>
          <t>25-PC-32323</t>
        </is>
      </c>
      <c r="B140" s="4" t="inlineStr">
        <is>
          <t>Hackberry Bend Canal Lining Data Recovery</t>
        </is>
      </c>
      <c r="C140" s="4" t="inlineStr">
        <is>
          <t>Time and material</t>
        </is>
      </c>
      <c r="D140" s="4" t="inlineStr">
        <is>
          <t>In Progress</t>
        </is>
      </c>
      <c r="E140" s="4" t="inlineStr">
        <is>
          <t>Ian Maddox</t>
        </is>
      </c>
      <c r="F140" s="5" t="n">
        <v>201300</v>
      </c>
      <c r="G140" s="5" t="n">
        <v>150874.35</v>
      </c>
      <c r="H140" s="5" t="n">
        <v>150874.35</v>
      </c>
      <c r="I140" s="5" t="n">
        <v>0</v>
      </c>
      <c r="J140" s="5" t="n">
        <v>196916.6</v>
      </c>
      <c r="K140" s="6" t="n">
        <v>0.978</v>
      </c>
      <c r="L140" s="5" t="n">
        <v>161800.48</v>
      </c>
      <c r="M140" s="5" t="n">
        <v>-10926.13</v>
      </c>
      <c r="N140" s="6">
        <f>IF(G140=0,0,L140/G140)</f>
        <v/>
      </c>
      <c r="O140" s="5">
        <f>J140-L140</f>
        <v/>
      </c>
      <c r="P140" s="4" t="inlineStr">
        <is>
          <t>Chesapeake</t>
        </is>
      </c>
    </row>
    <row r="141">
      <c r="A141" s="4" t="inlineStr">
        <is>
          <t>25-PC-32447</t>
        </is>
      </c>
      <c r="B141" s="4" t="inlineStr">
        <is>
          <t>Pebble Beach Road Archaeological Testing</t>
        </is>
      </c>
      <c r="C141" s="4" t="inlineStr">
        <is>
          <t>Fixed fee</t>
        </is>
      </c>
      <c r="D141" s="4" t="inlineStr">
        <is>
          <t>In Progress</t>
        </is>
      </c>
      <c r="E141" s="4" t="inlineStr">
        <is>
          <t>Alexandria Wilkinson</t>
        </is>
      </c>
      <c r="F141" s="5" t="n">
        <v>88200</v>
      </c>
      <c r="G141" s="5" t="n">
        <v>61772.24</v>
      </c>
      <c r="H141" s="5" t="n">
        <v>55626.38</v>
      </c>
      <c r="I141" s="5" t="n">
        <v>6145.86</v>
      </c>
      <c r="J141" s="5" t="n">
        <v>88200</v>
      </c>
      <c r="K141" s="6" t="n">
        <v>1</v>
      </c>
      <c r="L141" s="5" t="n">
        <v>76703.23</v>
      </c>
      <c r="M141" s="5" t="n">
        <v>-14930.99</v>
      </c>
      <c r="N141" s="6">
        <f>IF(G141=0,0,L141/G141)</f>
        <v/>
      </c>
      <c r="O141" s="5">
        <f>J141-L141</f>
        <v/>
      </c>
      <c r="P141" s="4" t="inlineStr">
        <is>
          <t>Chesapeake</t>
        </is>
      </c>
    </row>
    <row r="142">
      <c r="A142" s="4" t="inlineStr">
        <is>
          <t>25-PC-32495</t>
        </is>
      </c>
      <c r="B142" s="4" t="inlineStr">
        <is>
          <t>Oak Terrace Canal Lining - Phase I Survey</t>
        </is>
      </c>
      <c r="C142" s="4" t="inlineStr">
        <is>
          <t>Time and material</t>
        </is>
      </c>
      <c r="D142" s="4" t="inlineStr">
        <is>
          <t>In Progress</t>
        </is>
      </c>
      <c r="E142" s="4" t="inlineStr">
        <is>
          <t>Sandy Kerr</t>
        </is>
      </c>
      <c r="F142" s="5" t="n">
        <v>118800</v>
      </c>
      <c r="G142" s="5" t="n">
        <v>85013.28</v>
      </c>
      <c r="H142" s="5" t="n">
        <v>85013.28</v>
      </c>
      <c r="I142" s="5" t="n">
        <v>0</v>
      </c>
      <c r="J142" s="5" t="n">
        <v>118800</v>
      </c>
      <c r="K142" s="6" t="n">
        <v>1</v>
      </c>
      <c r="L142" s="5" t="n">
        <v>117591.53</v>
      </c>
      <c r="M142" s="5" t="n">
        <v>-32578.25</v>
      </c>
      <c r="N142" s="6">
        <f>IF(G142=0,0,L142/G142)</f>
        <v/>
      </c>
      <c r="O142" s="5">
        <f>J142-L142</f>
        <v/>
      </c>
      <c r="P142" s="4" t="inlineStr">
        <is>
          <t>Chesapeake</t>
        </is>
      </c>
    </row>
    <row r="143">
      <c r="A143" s="4" t="inlineStr">
        <is>
          <t>25-PC-32776</t>
        </is>
      </c>
      <c r="B143" s="4" t="inlineStr">
        <is>
          <t>Plover Cove Mixed-Use Development Cultural Resources Monitoring</t>
        </is>
      </c>
      <c r="C143" s="4" t="inlineStr">
        <is>
          <t>Time and material</t>
        </is>
      </c>
      <c r="D143" s="4" t="inlineStr">
        <is>
          <t>In Progress</t>
        </is>
      </c>
      <c r="E143" s="4" t="inlineStr">
        <is>
          <t>Jeremy Tran</t>
        </is>
      </c>
      <c r="F143" s="5" t="n">
        <v>86500</v>
      </c>
      <c r="G143" s="5" t="n">
        <v>62245.4</v>
      </c>
      <c r="H143" s="5" t="n">
        <v>62245.4</v>
      </c>
      <c r="I143" s="5" t="n">
        <v>0</v>
      </c>
      <c r="J143" s="5" t="n">
        <v>83279.75</v>
      </c>
      <c r="K143" s="6" t="n">
        <v>0.963</v>
      </c>
      <c r="L143" s="5" t="n">
        <v>49276.48</v>
      </c>
      <c r="M143" s="5" t="n">
        <v>12968.92</v>
      </c>
      <c r="N143" s="6">
        <f>IF(G143=0,0,L143/G143)</f>
        <v/>
      </c>
      <c r="O143" s="5">
        <f>J143-L143</f>
        <v/>
      </c>
      <c r="P143" s="4" t="inlineStr">
        <is>
          <t>Front Range</t>
        </is>
      </c>
    </row>
    <row r="144">
      <c r="A144" s="4" t="inlineStr">
        <is>
          <t>25-PC-32795</t>
        </is>
      </c>
      <c r="B144" s="4" t="inlineStr">
        <is>
          <t>North Fork Water Main Architectural History Survey</t>
        </is>
      </c>
      <c r="C144" s="4" t="inlineStr">
        <is>
          <t>Time and material</t>
        </is>
      </c>
      <c r="D144" s="4" t="inlineStr">
        <is>
          <t>In Progress</t>
        </is>
      </c>
      <c r="E144" s="4" t="inlineStr">
        <is>
          <t>Reginald Vargas</t>
        </is>
      </c>
      <c r="F144" s="5" t="n">
        <v>16900</v>
      </c>
      <c r="G144" s="5" t="n">
        <v>11650.86</v>
      </c>
      <c r="H144" s="5" t="n">
        <v>11650.86</v>
      </c>
      <c r="I144" s="5" t="n">
        <v>0</v>
      </c>
      <c r="J144" s="5" t="n">
        <v>16900</v>
      </c>
      <c r="K144" s="6" t="n">
        <v>1</v>
      </c>
      <c r="L144" s="5" t="n">
        <v>12884.7</v>
      </c>
      <c r="M144" s="5" t="n">
        <v>-1233.84</v>
      </c>
      <c r="N144" s="6">
        <f>IF(G144=0,0,L144/G144)</f>
        <v/>
      </c>
      <c r="O144" s="5">
        <f>J144-L144</f>
        <v/>
      </c>
      <c r="P144" s="4" t="inlineStr">
        <is>
          <t>Front Range</t>
        </is>
      </c>
    </row>
    <row r="145">
      <c r="A145" s="4" t="inlineStr">
        <is>
          <t>25-PC-32838</t>
        </is>
      </c>
      <c r="B145" s="4" t="inlineStr">
        <is>
          <t>Aspen Ridge Canal Lining - Curation</t>
        </is>
      </c>
      <c r="C145" s="4" t="inlineStr">
        <is>
          <t>Fixed fee</t>
        </is>
      </c>
      <c r="D145" s="4" t="inlineStr">
        <is>
          <t>In Progress</t>
        </is>
      </c>
      <c r="E145" s="4" t="inlineStr">
        <is>
          <t>Jeremy Tran</t>
        </is>
      </c>
      <c r="F145" s="5" t="n">
        <v>42600</v>
      </c>
      <c r="G145" s="5" t="n">
        <v>33543.24</v>
      </c>
      <c r="H145" s="5" t="n">
        <v>33543.24</v>
      </c>
      <c r="I145" s="5" t="n">
        <v>0</v>
      </c>
      <c r="J145" s="5" t="n">
        <v>39204.78</v>
      </c>
      <c r="K145" s="6" t="n">
        <v>0.92</v>
      </c>
      <c r="L145" s="5" t="n">
        <v>30870.45</v>
      </c>
      <c r="M145" s="5" t="n">
        <v>2672.789999999997</v>
      </c>
      <c r="N145" s="6">
        <f>IF(G145=0,0,L145/G145)</f>
        <v/>
      </c>
      <c r="O145" s="5">
        <f>J145-L145</f>
        <v/>
      </c>
      <c r="P145" s="4" t="inlineStr">
        <is>
          <t>Front Range</t>
        </is>
      </c>
    </row>
    <row r="146">
      <c r="A146" s="4" t="inlineStr">
        <is>
          <t>25-PC-32861</t>
        </is>
      </c>
      <c r="B146" s="4" t="inlineStr">
        <is>
          <t>Yarrow Point Architectural History Survey</t>
        </is>
      </c>
      <c r="C146" s="4" t="inlineStr">
        <is>
          <t>Fixed fee</t>
        </is>
      </c>
      <c r="D146" s="4" t="inlineStr">
        <is>
          <t>In Progress</t>
        </is>
      </c>
      <c r="E146" s="4" t="inlineStr">
        <is>
          <t>Dean Velazquez</t>
        </is>
      </c>
      <c r="F146" s="5" t="n">
        <v>59200</v>
      </c>
      <c r="G146" s="5" t="n">
        <v>41555.52</v>
      </c>
      <c r="H146" s="5" t="n">
        <v>31694.67</v>
      </c>
      <c r="I146" s="5" t="n">
        <v>9860.85</v>
      </c>
      <c r="J146" s="5" t="n">
        <v>59200</v>
      </c>
      <c r="K146" s="6" t="n">
        <v>1</v>
      </c>
      <c r="L146" s="5" t="n">
        <v>49895.36</v>
      </c>
      <c r="M146" s="5" t="n">
        <v>-8339.840000000004</v>
      </c>
      <c r="N146" s="6">
        <f>IF(G146=0,0,L146/G146)</f>
        <v/>
      </c>
      <c r="O146" s="5">
        <f>J146-L146</f>
        <v/>
      </c>
      <c r="P146" s="4" t="inlineStr">
        <is>
          <t>Front Range</t>
        </is>
      </c>
    </row>
    <row r="147">
      <c r="A147" s="4" t="inlineStr">
        <is>
          <t>25-PC-32899</t>
        </is>
      </c>
      <c r="B147" s="4" t="inlineStr">
        <is>
          <t>Lone Pine Mixed-Use Development Phase I Survey</t>
        </is>
      </c>
      <c r="C147" s="4" t="inlineStr">
        <is>
          <t>Fixed fee</t>
        </is>
      </c>
      <c r="D147" s="4" t="inlineStr">
        <is>
          <t>In Progress</t>
        </is>
      </c>
      <c r="E147" s="4" t="inlineStr">
        <is>
          <t>Jeremy Tran</t>
        </is>
      </c>
      <c r="F147" s="5" t="n">
        <v>59600</v>
      </c>
      <c r="G147" s="5" t="n">
        <v>51399.04</v>
      </c>
      <c r="H147" s="5" t="n">
        <v>51399.04</v>
      </c>
      <c r="I147" s="5" t="n">
        <v>0</v>
      </c>
      <c r="J147" s="5" t="n">
        <v>59600</v>
      </c>
      <c r="K147" s="6" t="n">
        <v>1</v>
      </c>
      <c r="L147" s="5" t="n">
        <v>74823.59</v>
      </c>
      <c r="M147" s="5" t="n">
        <v>-23424.55</v>
      </c>
      <c r="N147" s="6">
        <f>IF(G147=0,0,L147/G147)</f>
        <v/>
      </c>
      <c r="O147" s="5">
        <f>J147-L147</f>
        <v/>
      </c>
      <c r="P147" s="4" t="inlineStr">
        <is>
          <t>Front Range</t>
        </is>
      </c>
    </row>
    <row r="148">
      <c r="A148" s="4" t="inlineStr">
        <is>
          <t>25-PC-32911</t>
        </is>
      </c>
      <c r="B148" s="4" t="inlineStr">
        <is>
          <t>Twin Buttes Wind Farm - Cultural Resources Monitoring</t>
        </is>
      </c>
      <c r="C148" s="4" t="inlineStr">
        <is>
          <t>Time and material</t>
        </is>
      </c>
      <c r="D148" s="4" t="inlineStr">
        <is>
          <t>Lab/Curation</t>
        </is>
      </c>
      <c r="E148" s="4" t="inlineStr">
        <is>
          <t>Jeremy Tran</t>
        </is>
      </c>
      <c r="F148" s="5" t="n">
        <v>13300</v>
      </c>
      <c r="G148" s="5" t="n">
        <v>8727.43</v>
      </c>
      <c r="H148" s="5" t="n">
        <v>6386.48</v>
      </c>
      <c r="I148" s="5" t="n">
        <v>2340.95</v>
      </c>
      <c r="J148" s="5" t="n">
        <v>13300</v>
      </c>
      <c r="K148" s="6" t="n">
        <v>1</v>
      </c>
      <c r="L148" s="5" t="n">
        <v>16463.41</v>
      </c>
      <c r="M148" s="5" t="n">
        <v>-7735.98</v>
      </c>
      <c r="N148" s="6">
        <f>IF(G148=0,0,L148/G148)</f>
        <v/>
      </c>
      <c r="O148" s="5">
        <f>J148-L148</f>
        <v/>
      </c>
      <c r="P148" s="4" t="inlineStr">
        <is>
          <t>Front Range</t>
        </is>
      </c>
    </row>
    <row r="149">
      <c r="A149" s="4" t="inlineStr">
        <is>
          <t>25-PC-33065</t>
        </is>
      </c>
      <c r="B149" s="4" t="inlineStr">
        <is>
          <t>Wren Hollow GIS Mapping</t>
        </is>
      </c>
      <c r="C149" s="4" t="inlineStr">
        <is>
          <t>Fixed fee</t>
        </is>
      </c>
      <c r="D149" s="4" t="inlineStr">
        <is>
          <t>In Progress</t>
        </is>
      </c>
      <c r="E149" s="4" t="inlineStr">
        <is>
          <t>Dean Velazquez</t>
        </is>
      </c>
      <c r="F149" s="5" t="n">
        <v>50400</v>
      </c>
      <c r="G149" s="5" t="n">
        <v>40748.4</v>
      </c>
      <c r="H149" s="5" t="n">
        <v>40748.4</v>
      </c>
      <c r="I149" s="5" t="n">
        <v>0</v>
      </c>
      <c r="J149" s="5" t="n">
        <v>45596.88</v>
      </c>
      <c r="K149" s="6" t="n">
        <v>0.905</v>
      </c>
      <c r="L149" s="5" t="n">
        <v>36866.22</v>
      </c>
      <c r="M149" s="5" t="n">
        <v>3882.18</v>
      </c>
      <c r="N149" s="6">
        <f>IF(G149=0,0,L149/G149)</f>
        <v/>
      </c>
      <c r="O149" s="5">
        <f>J149-L149</f>
        <v/>
      </c>
      <c r="P149" s="4" t="inlineStr">
        <is>
          <t>Front Range</t>
        </is>
      </c>
    </row>
    <row r="150">
      <c r="A150" s="4" t="inlineStr">
        <is>
          <t>25-PC-33088</t>
        </is>
      </c>
      <c r="B150" s="4" t="inlineStr">
        <is>
          <t>On-Call: Silver Lake Fiber Route Architectural History Survey</t>
        </is>
      </c>
      <c r="C150" s="4" t="inlineStr">
        <is>
          <t>Fixed fee</t>
        </is>
      </c>
      <c r="D150" s="4" t="inlineStr">
        <is>
          <t>In Progress</t>
        </is>
      </c>
      <c r="E150" s="4" t="inlineStr">
        <is>
          <t>Reginald Vargas</t>
        </is>
      </c>
      <c r="F150" s="5" t="n">
        <v>767800</v>
      </c>
      <c r="G150" s="5" t="n">
        <v>553046.34</v>
      </c>
      <c r="H150" s="5" t="n">
        <v>553046.34</v>
      </c>
      <c r="I150" s="5" t="n">
        <v>0</v>
      </c>
      <c r="J150" s="5" t="n">
        <v>603874.7</v>
      </c>
      <c r="K150" s="6" t="n">
        <v>0.786</v>
      </c>
      <c r="L150" s="5" t="n">
        <v>434972.87</v>
      </c>
      <c r="M150" s="5" t="n">
        <v>118073.47</v>
      </c>
      <c r="N150" s="6">
        <f>IF(G150=0,0,L150/G150)</f>
        <v/>
      </c>
      <c r="O150" s="5">
        <f>J150-L150</f>
        <v/>
      </c>
      <c r="P150" s="4" t="inlineStr">
        <is>
          <t>Front Range</t>
        </is>
      </c>
    </row>
    <row r="151">
      <c r="A151" s="4" t="inlineStr">
        <is>
          <t>25-PC-33105</t>
        </is>
      </c>
      <c r="B151" s="4" t="inlineStr">
        <is>
          <t>Redbud Data Recovery</t>
        </is>
      </c>
      <c r="C151" s="4" t="inlineStr">
        <is>
          <t>Fixed fee</t>
        </is>
      </c>
      <c r="D151" s="4" t="inlineStr">
        <is>
          <t>In Progress</t>
        </is>
      </c>
      <c r="E151" s="4" t="inlineStr">
        <is>
          <t>Kimberly Daugherty</t>
        </is>
      </c>
      <c r="F151" s="5" t="n">
        <v>3500</v>
      </c>
      <c r="G151" s="5" t="n">
        <v>2324</v>
      </c>
      <c r="H151" s="5" t="n">
        <v>2324</v>
      </c>
      <c r="I151" s="5" t="n">
        <v>0</v>
      </c>
      <c r="J151" s="5" t="n">
        <v>3500</v>
      </c>
      <c r="K151" s="6" t="n">
        <v>1</v>
      </c>
      <c r="L151" s="5" t="n">
        <v>9006.200000000001</v>
      </c>
      <c r="M151" s="5" t="n">
        <v>-6682.200000000001</v>
      </c>
      <c r="N151" s="6">
        <f>IF(G151=0,0,L151/G151)</f>
        <v/>
      </c>
      <c r="O151" s="5">
        <f>J151-L151</f>
        <v/>
      </c>
      <c r="P151" s="4" t="inlineStr">
        <is>
          <t>Front Range</t>
        </is>
      </c>
    </row>
    <row r="152">
      <c r="A152" s="4" t="inlineStr">
        <is>
          <t>25-PC-33183</t>
        </is>
      </c>
      <c r="B152" s="4" t="inlineStr">
        <is>
          <t>Saltgrass Architectural History Survey</t>
        </is>
      </c>
      <c r="C152" s="4" t="inlineStr">
        <is>
          <t>Fixed fee</t>
        </is>
      </c>
      <c r="D152" s="4" t="inlineStr">
        <is>
          <t>In Progress</t>
        </is>
      </c>
      <c r="E152" s="4" t="inlineStr">
        <is>
          <t>Dean Velazquez</t>
        </is>
      </c>
      <c r="F152" s="5" t="n">
        <v>104500</v>
      </c>
      <c r="G152" s="5" t="n">
        <v>79399.10000000001</v>
      </c>
      <c r="H152" s="5" t="n">
        <v>79399.10000000001</v>
      </c>
      <c r="I152" s="5" t="n">
        <v>0</v>
      </c>
      <c r="J152" s="5" t="n">
        <v>101009.7</v>
      </c>
      <c r="K152" s="6" t="n">
        <v>0.967</v>
      </c>
      <c r="L152" s="5" t="n">
        <v>76745.42999999999</v>
      </c>
      <c r="M152" s="5" t="n">
        <v>2653.670000000013</v>
      </c>
      <c r="N152" s="6">
        <f>IF(G152=0,0,L152/G152)</f>
        <v/>
      </c>
      <c r="O152" s="5">
        <f>J152-L152</f>
        <v/>
      </c>
      <c r="P152" s="4" t="inlineStr">
        <is>
          <t>Front Range</t>
        </is>
      </c>
    </row>
    <row r="153">
      <c r="A153" s="4" t="inlineStr">
        <is>
          <t>25-PC-33473</t>
        </is>
      </c>
      <c r="B153" s="4" t="inlineStr">
        <is>
          <t>Dove Canyon Bridge Replacement Paleontological Monitoring</t>
        </is>
      </c>
      <c r="C153" s="4" t="inlineStr">
        <is>
          <t>Fixed fee</t>
        </is>
      </c>
      <c r="D153" s="4" t="inlineStr">
        <is>
          <t>In Progress</t>
        </is>
      </c>
      <c r="E153" s="4" t="inlineStr">
        <is>
          <t>Devon Pitts</t>
        </is>
      </c>
      <c r="F153" s="5" t="n">
        <v>41600</v>
      </c>
      <c r="G153" s="5" t="n">
        <v>29136.64</v>
      </c>
      <c r="H153" s="5" t="n">
        <v>29136.64</v>
      </c>
      <c r="I153" s="5" t="n">
        <v>0</v>
      </c>
      <c r="J153" s="5" t="n">
        <v>32406.4</v>
      </c>
      <c r="K153" s="6" t="n">
        <v>0.779</v>
      </c>
      <c r="L153" s="5" t="n">
        <v>22697.51</v>
      </c>
      <c r="M153" s="5" t="n">
        <v>6439.130000000001</v>
      </c>
      <c r="N153" s="6">
        <f>IF(G153=0,0,L153/G153)</f>
        <v/>
      </c>
      <c r="O153" s="5">
        <f>J153-L153</f>
        <v/>
      </c>
      <c r="P153" s="4" t="inlineStr">
        <is>
          <t>Front Range</t>
        </is>
      </c>
    </row>
    <row r="154">
      <c r="A154" s="4" t="inlineStr">
        <is>
          <t>25-PC-33744</t>
        </is>
      </c>
      <c r="B154" s="4" t="inlineStr">
        <is>
          <t>Blue Heron Canal Lining - Curation</t>
        </is>
      </c>
      <c r="C154" s="4" t="inlineStr">
        <is>
          <t>Fixed fee</t>
        </is>
      </c>
      <c r="D154" s="4" t="inlineStr">
        <is>
          <t>In Progress</t>
        </is>
      </c>
      <c r="E154" s="4" t="inlineStr">
        <is>
          <t>Nathan Lambert</t>
        </is>
      </c>
      <c r="F154" s="5" t="n">
        <v>87100</v>
      </c>
      <c r="G154" s="5" t="n">
        <v>60133.84</v>
      </c>
      <c r="H154" s="5" t="n">
        <v>60133.84</v>
      </c>
      <c r="I154" s="5" t="n">
        <v>0</v>
      </c>
      <c r="J154" s="5" t="n">
        <v>64332.06</v>
      </c>
      <c r="K154" s="6" t="n">
        <v>0.739</v>
      </c>
      <c r="L154" s="5" t="n">
        <v>44412.55</v>
      </c>
      <c r="M154" s="5" t="n">
        <v>15721.28999999999</v>
      </c>
      <c r="N154" s="6">
        <f>IF(G154=0,0,L154/G154)</f>
        <v/>
      </c>
      <c r="O154" s="5">
        <f>J154-L154</f>
        <v/>
      </c>
      <c r="P154" s="4" t="inlineStr">
        <is>
          <t>Great Lakes</t>
        </is>
      </c>
    </row>
    <row r="155">
      <c r="A155" s="4" t="inlineStr">
        <is>
          <t>25-PC-33750</t>
        </is>
      </c>
      <c r="B155" s="4" t="inlineStr">
        <is>
          <t>Kestrel Butte Archaeological Testing</t>
        </is>
      </c>
      <c r="C155" s="4" t="inlineStr">
        <is>
          <t>Fixed fee</t>
        </is>
      </c>
      <c r="D155" s="4" t="inlineStr">
        <is>
          <t>Transferred Entity</t>
        </is>
      </c>
      <c r="E155" s="4" t="inlineStr">
        <is>
          <t>Kathleen Galvan</t>
        </is>
      </c>
      <c r="F155" s="5" t="n">
        <v>69600</v>
      </c>
      <c r="G155" s="5" t="n">
        <v>51302.16</v>
      </c>
      <c r="H155" s="5" t="n">
        <v>51302.16</v>
      </c>
      <c r="I155" s="5" t="n">
        <v>0</v>
      </c>
      <c r="J155" s="5" t="n">
        <v>69600</v>
      </c>
      <c r="K155" s="6" t="n">
        <v>1</v>
      </c>
      <c r="L155" s="5" t="n">
        <v>60286.74</v>
      </c>
      <c r="M155" s="5" t="n">
        <v>-8984.579999999994</v>
      </c>
      <c r="N155" s="6">
        <f>IF(G155=0,0,L155/G155)</f>
        <v/>
      </c>
      <c r="O155" s="5">
        <f>J155-L155</f>
        <v/>
      </c>
      <c r="P155" s="4" t="inlineStr">
        <is>
          <t>Great Lakes</t>
        </is>
      </c>
    </row>
    <row r="156">
      <c r="A156" s="4" t="inlineStr">
        <is>
          <t>25-PC-33846</t>
        </is>
      </c>
      <c r="B156" s="4" t="inlineStr">
        <is>
          <t>Task Order 30: Bramble Creek Pipeline Environmental Review Support</t>
        </is>
      </c>
      <c r="C156" s="4" t="inlineStr">
        <is>
          <t>Fixed fee</t>
        </is>
      </c>
      <c r="D156" s="4" t="inlineStr">
        <is>
          <t>Final Reporting/Review</t>
        </is>
      </c>
      <c r="E156" s="4" t="inlineStr">
        <is>
          <t>Geoffrey Fernandez</t>
        </is>
      </c>
      <c r="F156" s="5" t="n">
        <v>15200</v>
      </c>
      <c r="G156" s="5" t="n">
        <v>11021.49</v>
      </c>
      <c r="H156" s="5" t="n">
        <v>9579.99</v>
      </c>
      <c r="I156" s="5" t="n">
        <v>1441.5</v>
      </c>
      <c r="J156" s="5" t="n">
        <v>15200</v>
      </c>
      <c r="K156" s="6" t="n">
        <v>1</v>
      </c>
      <c r="L156" s="5" t="n">
        <v>11383.28</v>
      </c>
      <c r="M156" s="5" t="n">
        <v>-361.7900000000009</v>
      </c>
      <c r="N156" s="6">
        <f>IF(G156=0,0,L156/G156)</f>
        <v/>
      </c>
      <c r="O156" s="5">
        <f>J156-L156</f>
        <v/>
      </c>
      <c r="P156" s="4" t="inlineStr">
        <is>
          <t>Great Lakes</t>
        </is>
      </c>
    </row>
    <row r="157">
      <c r="A157" s="4" t="inlineStr">
        <is>
          <t>25-PC-33922</t>
        </is>
      </c>
      <c r="B157" s="4" t="inlineStr">
        <is>
          <t>Slate Ridge Data Recovery</t>
        </is>
      </c>
      <c r="C157" s="4" t="inlineStr">
        <is>
          <t>Fixed fee</t>
        </is>
      </c>
      <c r="D157" s="4" t="inlineStr">
        <is>
          <t>In Progress</t>
        </is>
      </c>
      <c r="E157" s="4" t="inlineStr">
        <is>
          <t>Nathan Lambert</t>
        </is>
      </c>
      <c r="F157" s="5" t="n">
        <v>22100</v>
      </c>
      <c r="G157" s="5" t="n">
        <v>16113.11</v>
      </c>
      <c r="H157" s="5" t="n">
        <v>16113.11</v>
      </c>
      <c r="I157" s="5" t="n">
        <v>0</v>
      </c>
      <c r="J157" s="5" t="n">
        <v>22100</v>
      </c>
      <c r="K157" s="6" t="n">
        <v>1</v>
      </c>
      <c r="L157" s="5" t="n">
        <v>33890.09</v>
      </c>
      <c r="M157" s="5" t="n">
        <v>-17776.98</v>
      </c>
      <c r="N157" s="6">
        <f>IF(G157=0,0,L157/G157)</f>
        <v/>
      </c>
      <c r="O157" s="5">
        <f>J157-L157</f>
        <v/>
      </c>
      <c r="P157" s="4" t="inlineStr">
        <is>
          <t>Great Lakes</t>
        </is>
      </c>
    </row>
    <row r="158">
      <c r="A158" s="4" t="inlineStr">
        <is>
          <t>25-PC-34176</t>
        </is>
      </c>
      <c r="B158" s="4" t="inlineStr">
        <is>
          <t>Meadowlark Mixed-Use Development - Historic Resources Evaluation</t>
        </is>
      </c>
      <c r="C158" s="4" t="inlineStr">
        <is>
          <t>Time and material</t>
        </is>
      </c>
      <c r="D158" s="4" t="inlineStr">
        <is>
          <t>In Progress</t>
        </is>
      </c>
      <c r="E158" s="4" t="inlineStr">
        <is>
          <t>Geoffrey Fernandez</t>
        </is>
      </c>
      <c r="F158" s="5" t="n">
        <v>53000</v>
      </c>
      <c r="G158" s="5" t="n">
        <v>36718.4</v>
      </c>
      <c r="H158" s="5" t="n">
        <v>36718.4</v>
      </c>
      <c r="I158" s="5" t="n">
        <v>0</v>
      </c>
      <c r="J158" s="5" t="n">
        <v>53000</v>
      </c>
      <c r="K158" s="6" t="n">
        <v>1</v>
      </c>
      <c r="L158" s="5" t="n">
        <v>42629.29</v>
      </c>
      <c r="M158" s="5" t="n">
        <v>-5910.889999999999</v>
      </c>
      <c r="N158" s="6">
        <f>IF(G158=0,0,L158/G158)</f>
        <v/>
      </c>
      <c r="O158" s="5">
        <f>J158-L158</f>
        <v/>
      </c>
      <c r="P158" s="4" t="inlineStr">
        <is>
          <t>Great Lakes</t>
        </is>
      </c>
    </row>
    <row r="159">
      <c r="A159" s="4" t="inlineStr">
        <is>
          <t>25-PC-34451</t>
        </is>
      </c>
      <c r="B159" s="4" t="inlineStr">
        <is>
          <t>North Fork Curation</t>
        </is>
      </c>
      <c r="C159" s="4" t="inlineStr">
        <is>
          <t>Time and material</t>
        </is>
      </c>
      <c r="D159" s="4" t="inlineStr">
        <is>
          <t>In Progress</t>
        </is>
      </c>
      <c r="E159" s="4" t="inlineStr">
        <is>
          <t>Robin Mercado</t>
        </is>
      </c>
      <c r="F159" s="5" t="n">
        <v>46400</v>
      </c>
      <c r="G159" s="5" t="n">
        <v>32526.4</v>
      </c>
      <c r="H159" s="5" t="n">
        <v>32526.4</v>
      </c>
      <c r="I159" s="5" t="n">
        <v>0</v>
      </c>
      <c r="J159" s="5" t="n">
        <v>46400</v>
      </c>
      <c r="K159" s="6" t="n">
        <v>1</v>
      </c>
      <c r="L159" s="5" t="n">
        <v>41685.4</v>
      </c>
      <c r="M159" s="5" t="n">
        <v>-9159</v>
      </c>
      <c r="N159" s="6">
        <f>IF(G159=0,0,L159/G159)</f>
        <v/>
      </c>
      <c r="O159" s="5">
        <f>J159-L159</f>
        <v/>
      </c>
      <c r="P159" s="4" t="inlineStr">
        <is>
          <t>Great Lakes</t>
        </is>
      </c>
    </row>
    <row r="160">
      <c r="A160" s="4" t="inlineStr">
        <is>
          <t>25-PC-34652</t>
        </is>
      </c>
      <c r="B160" s="4" t="inlineStr">
        <is>
          <t>Coyote Springs Section 106 Consultation</t>
        </is>
      </c>
      <c r="C160" s="4" t="inlineStr">
        <is>
          <t>Fixed fee</t>
        </is>
      </c>
      <c r="D160" s="4" t="inlineStr">
        <is>
          <t>In Progress</t>
        </is>
      </c>
      <c r="E160" s="4" t="inlineStr">
        <is>
          <t>Gina Beltran</t>
        </is>
      </c>
      <c r="F160" s="5" t="n">
        <v>210700</v>
      </c>
      <c r="G160" s="5" t="n">
        <v>180928.09</v>
      </c>
      <c r="H160" s="5" t="n">
        <v>180928.09</v>
      </c>
      <c r="I160" s="5" t="n">
        <v>0</v>
      </c>
      <c r="J160" s="5" t="n">
        <v>176145.2</v>
      </c>
      <c r="K160" s="6" t="n">
        <v>0.836</v>
      </c>
      <c r="L160" s="5" t="n">
        <v>151256.79</v>
      </c>
      <c r="M160" s="5" t="n">
        <v>29671.29999999999</v>
      </c>
      <c r="N160" s="6">
        <f>IF(G160=0,0,L160/G160)</f>
        <v/>
      </c>
      <c r="O160" s="5">
        <f>J160-L160</f>
        <v/>
      </c>
      <c r="P160" s="4" t="inlineStr">
        <is>
          <t>Great Lakes</t>
        </is>
      </c>
    </row>
    <row r="161">
      <c r="A161" s="4" t="inlineStr">
        <is>
          <t>25-PC-34780</t>
        </is>
      </c>
      <c r="B161" s="4" t="inlineStr">
        <is>
          <t>Sumac Ridge Canal Lining Paleontological Monitoring</t>
        </is>
      </c>
      <c r="C161" s="4" t="inlineStr">
        <is>
          <t>Time and material</t>
        </is>
      </c>
      <c r="D161" s="4" t="inlineStr">
        <is>
          <t>In Progress</t>
        </is>
      </c>
      <c r="E161" s="4" t="inlineStr">
        <is>
          <t>Gina Beltran</t>
        </is>
      </c>
      <c r="F161" s="5" t="n">
        <v>82200</v>
      </c>
      <c r="G161" s="5" t="n">
        <v>51638.04</v>
      </c>
      <c r="H161" s="5" t="n">
        <v>51638.04</v>
      </c>
      <c r="I161" s="5" t="n">
        <v>0</v>
      </c>
      <c r="J161" s="5" t="n">
        <v>82200</v>
      </c>
      <c r="K161" s="6" t="n">
        <v>1</v>
      </c>
      <c r="L161" s="5" t="n">
        <v>83204.3</v>
      </c>
      <c r="M161" s="5" t="n">
        <v>-31566.26</v>
      </c>
      <c r="N161" s="6">
        <f>IF(G161=0,0,L161/G161)</f>
        <v/>
      </c>
      <c r="O161" s="5">
        <f>J161-L161</f>
        <v/>
      </c>
      <c r="P161" s="4" t="inlineStr">
        <is>
          <t>Great Lakes</t>
        </is>
      </c>
    </row>
    <row r="162">
      <c r="A162" s="4" t="inlineStr">
        <is>
          <t>25-PC-34850</t>
        </is>
      </c>
      <c r="B162" s="4" t="inlineStr">
        <is>
          <t>Thistle Down Section 106 Consultation</t>
        </is>
      </c>
      <c r="C162" s="4" t="inlineStr">
        <is>
          <t>Time and material</t>
        </is>
      </c>
      <c r="D162" s="4" t="inlineStr">
        <is>
          <t>In Progress</t>
        </is>
      </c>
      <c r="E162" s="4" t="inlineStr">
        <is>
          <t>Wyatt Erickson</t>
        </is>
      </c>
      <c r="F162" s="5" t="n">
        <v>201300</v>
      </c>
      <c r="G162" s="5" t="n">
        <v>117035.82</v>
      </c>
      <c r="H162" s="5" t="n">
        <v>117035.82</v>
      </c>
      <c r="I162" s="5" t="n">
        <v>0</v>
      </c>
      <c r="J162" s="5" t="n">
        <v>129963.25</v>
      </c>
      <c r="K162" s="6" t="n">
        <v>0.646</v>
      </c>
      <c r="L162" s="5" t="n">
        <v>94500.25999999999</v>
      </c>
      <c r="M162" s="5" t="n">
        <v>22535.56000000001</v>
      </c>
      <c r="N162" s="6">
        <f>IF(G162=0,0,L162/G162)</f>
        <v/>
      </c>
      <c r="O162" s="5">
        <f>J162-L162</f>
        <v/>
      </c>
      <c r="P162" s="4" t="inlineStr">
        <is>
          <t>Gulf Coast East</t>
        </is>
      </c>
    </row>
    <row r="163">
      <c r="A163" s="4" t="inlineStr">
        <is>
          <t>25-PC-35024</t>
        </is>
      </c>
      <c r="B163" s="4" t="inlineStr">
        <is>
          <t>Sandpiper Water Main - Section 106 Consultation</t>
        </is>
      </c>
      <c r="C163" s="4" t="inlineStr">
        <is>
          <t>Fixed fee</t>
        </is>
      </c>
      <c r="D163" s="4" t="inlineStr">
        <is>
          <t>In Progress</t>
        </is>
      </c>
      <c r="E163" s="4" t="inlineStr">
        <is>
          <t>Wyatt Erickson</t>
        </is>
      </c>
      <c r="F163" s="5" t="n">
        <v>224400</v>
      </c>
      <c r="G163" s="5" t="n">
        <v>165046.2</v>
      </c>
      <c r="H163" s="5" t="n">
        <v>165046.2</v>
      </c>
      <c r="I163" s="5" t="n">
        <v>0</v>
      </c>
      <c r="J163" s="5" t="n">
        <v>157798.08</v>
      </c>
      <c r="K163" s="6" t="n">
        <v>0.703</v>
      </c>
      <c r="L163" s="5" t="n">
        <v>116067.93</v>
      </c>
      <c r="M163" s="5" t="n">
        <v>48978.27000000002</v>
      </c>
      <c r="N163" s="6">
        <f>IF(G163=0,0,L163/G163)</f>
        <v/>
      </c>
      <c r="O163" s="5">
        <f>J163-L163</f>
        <v/>
      </c>
      <c r="P163" s="4" t="inlineStr">
        <is>
          <t>Gulf Coast</t>
        </is>
      </c>
    </row>
    <row r="164">
      <c r="A164" s="4" t="inlineStr">
        <is>
          <t>25-PC-35040</t>
        </is>
      </c>
      <c r="B164" s="4" t="inlineStr">
        <is>
          <t>Hackberry Bend Rail Siding Class III Survey</t>
        </is>
      </c>
      <c r="C164" s="4" t="inlineStr">
        <is>
          <t>Time and material</t>
        </is>
      </c>
      <c r="D164" s="4" t="inlineStr">
        <is>
          <t>In Progress</t>
        </is>
      </c>
      <c r="E164" s="4" t="inlineStr">
        <is>
          <t>Bernard Erickson</t>
        </is>
      </c>
      <c r="F164" s="5" t="n">
        <v>71400</v>
      </c>
      <c r="G164" s="5" t="n">
        <v>48880.44</v>
      </c>
      <c r="H164" s="5" t="n">
        <v>48880.44</v>
      </c>
      <c r="I164" s="5" t="n">
        <v>0</v>
      </c>
      <c r="J164" s="5" t="n">
        <v>71400</v>
      </c>
      <c r="K164" s="6" t="n">
        <v>1</v>
      </c>
      <c r="L164" s="5" t="n">
        <v>56947.79</v>
      </c>
      <c r="M164" s="5" t="n">
        <v>-8067.349999999999</v>
      </c>
      <c r="N164" s="6">
        <f>IF(G164=0,0,L164/G164)</f>
        <v/>
      </c>
      <c r="O164" s="5">
        <f>J164-L164</f>
        <v/>
      </c>
      <c r="P164" s="4" t="inlineStr">
        <is>
          <t>Gulf Coast East</t>
        </is>
      </c>
    </row>
    <row r="165">
      <c r="A165" s="4" t="inlineStr">
        <is>
          <t>25-PC-35182</t>
        </is>
      </c>
      <c r="B165" s="4" t="inlineStr">
        <is>
          <t>Rushgrass Draw Battery Storage Architectural History Survey</t>
        </is>
      </c>
      <c r="C165" s="4" t="inlineStr">
        <is>
          <t>Time and material</t>
        </is>
      </c>
      <c r="D165" s="4" t="inlineStr">
        <is>
          <t>In Progress</t>
        </is>
      </c>
      <c r="E165" s="4" t="inlineStr">
        <is>
          <t>Wyatt Erickson</t>
        </is>
      </c>
      <c r="F165" s="5" t="n">
        <v>33200</v>
      </c>
      <c r="G165" s="5" t="n">
        <v>23495.64</v>
      </c>
      <c r="H165" s="5" t="n">
        <v>23495.64</v>
      </c>
      <c r="I165" s="5" t="n">
        <v>0</v>
      </c>
      <c r="J165" s="5" t="n">
        <v>33200</v>
      </c>
      <c r="K165" s="6" t="n">
        <v>1</v>
      </c>
      <c r="L165" s="5" t="n">
        <v>28098.77</v>
      </c>
      <c r="M165" s="5" t="n">
        <v>-4603.130000000001</v>
      </c>
      <c r="N165" s="6">
        <f>IF(G165=0,0,L165/G165)</f>
        <v/>
      </c>
      <c r="O165" s="5">
        <f>J165-L165</f>
        <v/>
      </c>
      <c r="P165" s="4" t="inlineStr">
        <is>
          <t>Gulf Coast</t>
        </is>
      </c>
    </row>
    <row r="166">
      <c r="A166" s="4" t="inlineStr">
        <is>
          <t>25-PC-35272</t>
        </is>
      </c>
      <c r="B166" s="4" t="inlineStr">
        <is>
          <t>Thistle Down Cell Tower - Historic Resources Evaluation</t>
        </is>
      </c>
      <c r="C166" s="4" t="inlineStr">
        <is>
          <t>Time and material</t>
        </is>
      </c>
      <c r="D166" s="4" t="inlineStr">
        <is>
          <t>In Progress</t>
        </is>
      </c>
      <c r="E166" s="4" t="inlineStr">
        <is>
          <t>Bernard Erickson</t>
        </is>
      </c>
      <c r="F166" s="5" t="n">
        <v>49900</v>
      </c>
      <c r="G166" s="5" t="n">
        <v>35982.89</v>
      </c>
      <c r="H166" s="5" t="n">
        <v>35982.89</v>
      </c>
      <c r="I166" s="5" t="n">
        <v>0</v>
      </c>
      <c r="J166" s="5" t="n">
        <v>49900</v>
      </c>
      <c r="K166" s="6" t="n">
        <v>1</v>
      </c>
      <c r="L166" s="5" t="n">
        <v>42125.73</v>
      </c>
      <c r="M166" s="5" t="n">
        <v>-6142.840000000004</v>
      </c>
      <c r="N166" s="6">
        <f>IF(G166=0,0,L166/G166)</f>
        <v/>
      </c>
      <c r="O166" s="5">
        <f>J166-L166</f>
        <v/>
      </c>
      <c r="P166" s="4" t="inlineStr">
        <is>
          <t>Gulf Coast West</t>
        </is>
      </c>
    </row>
    <row r="167">
      <c r="A167" s="4" t="inlineStr">
        <is>
          <t>25-PC-35295</t>
        </is>
      </c>
      <c r="B167" s="4" t="inlineStr">
        <is>
          <t>Copper Flats Architectural History Survey</t>
        </is>
      </c>
      <c r="C167" s="4" t="inlineStr">
        <is>
          <t>Time and material</t>
        </is>
      </c>
      <c r="D167" s="4" t="inlineStr">
        <is>
          <t>In Progress</t>
        </is>
      </c>
      <c r="E167" s="4" t="inlineStr">
        <is>
          <t>Bernard Erickson</t>
        </is>
      </c>
      <c r="F167" s="5" t="n">
        <v>80400</v>
      </c>
      <c r="G167" s="5" t="n">
        <v>54551.4</v>
      </c>
      <c r="H167" s="5" t="n">
        <v>54551.4</v>
      </c>
      <c r="I167" s="5" t="n">
        <v>0</v>
      </c>
      <c r="J167" s="5" t="n">
        <v>54672</v>
      </c>
      <c r="K167" s="6" t="n">
        <v>0.68</v>
      </c>
      <c r="L167" s="5" t="n">
        <v>39686.68</v>
      </c>
      <c r="M167" s="5" t="n">
        <v>14864.72</v>
      </c>
      <c r="N167" s="6">
        <f>IF(G167=0,0,L167/G167)</f>
        <v/>
      </c>
      <c r="O167" s="5">
        <f>J167-L167</f>
        <v/>
      </c>
      <c r="P167" s="4" t="inlineStr">
        <is>
          <t>Gulf Coast East</t>
        </is>
      </c>
    </row>
    <row r="168">
      <c r="A168" s="4" t="inlineStr">
        <is>
          <t>25-PC-35340</t>
        </is>
      </c>
      <c r="B168" s="4" t="inlineStr">
        <is>
          <t>Goldfinch Bridge Replacement Paleontological Monitoring</t>
        </is>
      </c>
      <c r="C168" s="4" t="inlineStr">
        <is>
          <t>Fixed fee</t>
        </is>
      </c>
      <c r="D168" s="4" t="inlineStr">
        <is>
          <t>In Progress</t>
        </is>
      </c>
      <c r="E168" s="4" t="inlineStr">
        <is>
          <t>Bernard Erickson</t>
        </is>
      </c>
      <c r="F168" s="5" t="n">
        <v>19400</v>
      </c>
      <c r="G168" s="5" t="n">
        <v>13919.5</v>
      </c>
      <c r="H168" s="5" t="n">
        <v>13919.5</v>
      </c>
      <c r="I168" s="5" t="n">
        <v>0</v>
      </c>
      <c r="J168" s="5" t="n">
        <v>19400</v>
      </c>
      <c r="K168" s="6" t="n">
        <v>1</v>
      </c>
      <c r="L168" s="5" t="n">
        <v>36287.62</v>
      </c>
      <c r="M168" s="5" t="n">
        <v>-22368.12</v>
      </c>
      <c r="N168" s="6">
        <f>IF(G168=0,0,L168/G168)</f>
        <v/>
      </c>
      <c r="O168" s="5">
        <f>J168-L168</f>
        <v/>
      </c>
      <c r="P168" s="4" t="inlineStr">
        <is>
          <t>Gulf Coast East</t>
        </is>
      </c>
    </row>
    <row r="169">
      <c r="A169" s="4" t="inlineStr">
        <is>
          <t>25-PC-35361</t>
        </is>
      </c>
      <c r="B169" s="4" t="inlineStr">
        <is>
          <t>Millbrook Fiber Route - Historic Resources Evaluation</t>
        </is>
      </c>
      <c r="C169" s="4" t="inlineStr">
        <is>
          <t>Fixed fee</t>
        </is>
      </c>
      <c r="D169" s="4" t="inlineStr">
        <is>
          <t>In Progress</t>
        </is>
      </c>
      <c r="E169" s="4" t="inlineStr">
        <is>
          <t>Courtney Daugherty</t>
        </is>
      </c>
      <c r="F169" s="5" t="n">
        <v>25100</v>
      </c>
      <c r="G169" s="5" t="n">
        <v>20032.31</v>
      </c>
      <c r="H169" s="5" t="n">
        <v>20032.31</v>
      </c>
      <c r="I169" s="5" t="n">
        <v>0</v>
      </c>
      <c r="J169" s="5" t="n">
        <v>25100</v>
      </c>
      <c r="K169" s="6" t="n">
        <v>1</v>
      </c>
      <c r="L169" s="5" t="n">
        <v>27206.94</v>
      </c>
      <c r="M169" s="5" t="n">
        <v>-7174.629999999997</v>
      </c>
      <c r="N169" s="6">
        <f>IF(G169=0,0,L169/G169)</f>
        <v/>
      </c>
      <c r="O169" s="5">
        <f>J169-L169</f>
        <v/>
      </c>
      <c r="P169" s="4" t="inlineStr">
        <is>
          <t>Gulf Coast</t>
        </is>
      </c>
    </row>
    <row r="170">
      <c r="A170" s="4" t="inlineStr">
        <is>
          <t>25-PC-35485</t>
        </is>
      </c>
      <c r="B170" s="4" t="inlineStr">
        <is>
          <t>Wren Hollow Transmission Line - Phase I Survey</t>
        </is>
      </c>
      <c r="C170" s="4" t="inlineStr">
        <is>
          <t>Time and material</t>
        </is>
      </c>
      <c r="D170" s="4" t="inlineStr">
        <is>
          <t>In Progress</t>
        </is>
      </c>
      <c r="E170" s="4" t="inlineStr">
        <is>
          <t>Kathy Hurley</t>
        </is>
      </c>
      <c r="F170" s="5" t="n">
        <v>136900</v>
      </c>
      <c r="G170" s="5" t="n">
        <v>90994.45</v>
      </c>
      <c r="H170" s="5" t="n">
        <v>78522.66</v>
      </c>
      <c r="I170" s="5" t="n">
        <v>12471.79</v>
      </c>
      <c r="J170" s="5" t="n">
        <v>136900</v>
      </c>
      <c r="K170" s="6" t="n">
        <v>1</v>
      </c>
      <c r="L170" s="5" t="n">
        <v>119032.95</v>
      </c>
      <c r="M170" s="5" t="n">
        <v>-28038.5</v>
      </c>
      <c r="N170" s="6">
        <f>IF(G170=0,0,L170/G170)</f>
        <v/>
      </c>
      <c r="O170" s="5">
        <f>J170-L170</f>
        <v/>
      </c>
      <c r="P170" s="4" t="inlineStr">
        <is>
          <t>High Desert</t>
        </is>
      </c>
    </row>
    <row r="171">
      <c r="A171" s="4" t="inlineStr">
        <is>
          <t>25-PC-35496</t>
        </is>
      </c>
      <c r="B171" s="4" t="inlineStr">
        <is>
          <t>Silver Lake Airport Apron Class III Survey</t>
        </is>
      </c>
      <c r="C171" s="4" t="inlineStr">
        <is>
          <t>Time and material</t>
        </is>
      </c>
      <c r="D171" s="4" t="inlineStr">
        <is>
          <t>In Progress</t>
        </is>
      </c>
      <c r="E171" s="4" t="inlineStr">
        <is>
          <t>Kathy Hurley</t>
        </is>
      </c>
      <c r="F171" s="5" t="n">
        <v>15200</v>
      </c>
      <c r="G171" s="5" t="n">
        <v>10132.32</v>
      </c>
      <c r="H171" s="5" t="n">
        <v>10132.32</v>
      </c>
      <c r="I171" s="5" t="n">
        <v>0</v>
      </c>
      <c r="J171" s="5" t="n">
        <v>14910.4</v>
      </c>
      <c r="K171" s="6" t="n">
        <v>0.981</v>
      </c>
      <c r="L171" s="5" t="n">
        <v>10426.69</v>
      </c>
      <c r="M171" s="5" t="n">
        <v>-294.3700000000008</v>
      </c>
      <c r="N171" s="6">
        <f>IF(G171=0,0,L171/G171)</f>
        <v/>
      </c>
      <c r="O171" s="5">
        <f>J171-L171</f>
        <v/>
      </c>
      <c r="P171" s="4" t="inlineStr">
        <is>
          <t>High Desert</t>
        </is>
      </c>
    </row>
    <row r="172">
      <c r="A172" s="4" t="inlineStr">
        <is>
          <t>25-PC-35525</t>
        </is>
      </c>
      <c r="B172" s="4" t="inlineStr">
        <is>
          <t>Dove Canyon Rail Siding - Section 106 Consultation</t>
        </is>
      </c>
      <c r="C172" s="4" t="inlineStr">
        <is>
          <t>Fixed fee</t>
        </is>
      </c>
      <c r="D172" s="4" t="inlineStr">
        <is>
          <t>In Progress</t>
        </is>
      </c>
      <c r="E172" s="4" t="inlineStr">
        <is>
          <t>Bridget Maddox</t>
        </is>
      </c>
      <c r="F172" s="5" t="n">
        <v>98800</v>
      </c>
      <c r="G172" s="5" t="n">
        <v>78447.2</v>
      </c>
      <c r="H172" s="5" t="n">
        <v>78447.2</v>
      </c>
      <c r="I172" s="5" t="n">
        <v>0</v>
      </c>
      <c r="J172" s="5" t="n">
        <v>77370.28</v>
      </c>
      <c r="K172" s="6" t="n">
        <v>0.783</v>
      </c>
      <c r="L172" s="5" t="n">
        <v>61430.39</v>
      </c>
      <c r="M172" s="5" t="n">
        <v>17016.81</v>
      </c>
      <c r="N172" s="6">
        <f>IF(G172=0,0,L172/G172)</f>
        <v/>
      </c>
      <c r="O172" s="5">
        <f>J172-L172</f>
        <v/>
      </c>
      <c r="P172" s="4" t="inlineStr">
        <is>
          <t>High Desert</t>
        </is>
      </c>
    </row>
    <row r="173">
      <c r="A173" s="4" t="inlineStr">
        <is>
          <t>25-PC-35761</t>
        </is>
      </c>
      <c r="B173" s="4" t="inlineStr">
        <is>
          <t>Hackberry Bend Transmission Line Archaeological Testing</t>
        </is>
      </c>
      <c r="C173" s="4" t="inlineStr">
        <is>
          <t>Fixed fee</t>
        </is>
      </c>
      <c r="D173" s="4" t="inlineStr">
        <is>
          <t>In Progress</t>
        </is>
      </c>
      <c r="E173" s="4" t="inlineStr">
        <is>
          <t>Kathy Hurley</t>
        </is>
      </c>
      <c r="F173" s="5" t="n">
        <v>204800</v>
      </c>
      <c r="G173" s="5" t="n">
        <v>136396.8</v>
      </c>
      <c r="H173" s="5" t="n">
        <v>136396.8</v>
      </c>
      <c r="I173" s="5" t="n">
        <v>0</v>
      </c>
      <c r="J173" s="5" t="n">
        <v>204800</v>
      </c>
      <c r="K173" s="6" t="n">
        <v>1</v>
      </c>
      <c r="L173" s="5" t="n">
        <v>140077.69</v>
      </c>
      <c r="M173" s="5" t="n">
        <v>-3680.890000000014</v>
      </c>
      <c r="N173" s="6">
        <f>IF(G173=0,0,L173/G173)</f>
        <v/>
      </c>
      <c r="O173" s="5">
        <f>J173-L173</f>
        <v/>
      </c>
      <c r="P173" s="4" t="inlineStr">
        <is>
          <t>High Desert</t>
        </is>
      </c>
    </row>
    <row r="174">
      <c r="A174" s="4" t="inlineStr">
        <is>
          <t>25-PC-35897</t>
        </is>
      </c>
      <c r="B174" s="4" t="inlineStr">
        <is>
          <t>Phase I: Riverbend Wastewater Plant Class III Survey</t>
        </is>
      </c>
      <c r="C174" s="4" t="inlineStr">
        <is>
          <t>Fixed fee</t>
        </is>
      </c>
      <c r="D174" s="4" t="inlineStr">
        <is>
          <t>In Progress</t>
        </is>
      </c>
      <c r="E174" s="4" t="inlineStr">
        <is>
          <t>Jody Wang</t>
        </is>
      </c>
      <c r="F174" s="5" t="n">
        <v>83700</v>
      </c>
      <c r="G174" s="5" t="n">
        <v>61050.78</v>
      </c>
      <c r="H174" s="5" t="n">
        <v>61050.78</v>
      </c>
      <c r="I174" s="5" t="n">
        <v>0</v>
      </c>
      <c r="J174" s="5" t="n">
        <v>76761.27</v>
      </c>
      <c r="K174" s="6" t="n">
        <v>0.917</v>
      </c>
      <c r="L174" s="5" t="n">
        <v>55992.16</v>
      </c>
      <c r="M174" s="5" t="n">
        <v>5058.619999999995</v>
      </c>
      <c r="N174" s="6">
        <f>IF(G174=0,0,L174/G174)</f>
        <v/>
      </c>
      <c r="O174" s="5">
        <f>J174-L174</f>
        <v/>
      </c>
      <c r="P174" s="4" t="inlineStr">
        <is>
          <t>High Desert</t>
        </is>
      </c>
    </row>
    <row r="175">
      <c r="A175" s="4" t="inlineStr">
        <is>
          <t>25-PC-35963</t>
        </is>
      </c>
      <c r="B175" s="4" t="inlineStr">
        <is>
          <t>Quail Run Substation - Section 106 Consultation</t>
        </is>
      </c>
      <c r="C175" s="4" t="inlineStr">
        <is>
          <t>Time and material</t>
        </is>
      </c>
      <c r="D175" s="4" t="inlineStr">
        <is>
          <t>In Progress</t>
        </is>
      </c>
      <c r="E175" s="4" t="inlineStr">
        <is>
          <t>Kathy Hurley</t>
        </is>
      </c>
      <c r="F175" s="5" t="n">
        <v>320000</v>
      </c>
      <c r="G175" s="5" t="n">
        <v>216192</v>
      </c>
      <c r="H175" s="5" t="n">
        <v>216192</v>
      </c>
      <c r="I175" s="5" t="n">
        <v>0</v>
      </c>
      <c r="J175" s="5" t="n">
        <v>290771</v>
      </c>
      <c r="K175" s="6" t="n">
        <v>0.909</v>
      </c>
      <c r="L175" s="5" t="n">
        <v>202041.59</v>
      </c>
      <c r="M175" s="5" t="n">
        <v>14150.41</v>
      </c>
      <c r="N175" s="6">
        <f>IF(G175=0,0,L175/G175)</f>
        <v/>
      </c>
      <c r="O175" s="5">
        <f>J175-L175</f>
        <v/>
      </c>
      <c r="P175" s="4" t="inlineStr">
        <is>
          <t>High Desert</t>
        </is>
      </c>
    </row>
    <row r="176">
      <c r="A176" s="4" t="inlineStr">
        <is>
          <t>25-PC-36129</t>
        </is>
      </c>
      <c r="B176" s="4" t="inlineStr">
        <is>
          <t>Larkspur Rail Siding Environmental Review Support</t>
        </is>
      </c>
      <c r="C176" s="4" t="inlineStr">
        <is>
          <t>Time and material</t>
        </is>
      </c>
      <c r="D176" s="4" t="inlineStr">
        <is>
          <t>In Progress</t>
        </is>
      </c>
      <c r="E176" s="4" t="inlineStr">
        <is>
          <t>Kathy Hurley</t>
        </is>
      </c>
      <c r="F176" s="5" t="n">
        <v>114200</v>
      </c>
      <c r="G176" s="5" t="n">
        <v>78124.22</v>
      </c>
      <c r="H176" s="5" t="n">
        <v>78124.22</v>
      </c>
      <c r="I176" s="5" t="n">
        <v>0</v>
      </c>
      <c r="J176" s="5" t="n">
        <v>114200</v>
      </c>
      <c r="K176" s="6" t="n">
        <v>1</v>
      </c>
      <c r="L176" s="5" t="n">
        <v>79562.78999999999</v>
      </c>
      <c r="M176" s="5" t="n">
        <v>-1438.569999999992</v>
      </c>
      <c r="N176" s="6">
        <f>IF(G176=0,0,L176/G176)</f>
        <v/>
      </c>
      <c r="O176" s="5">
        <f>J176-L176</f>
        <v/>
      </c>
      <c r="P176" s="4" t="inlineStr">
        <is>
          <t>High Desert</t>
        </is>
      </c>
    </row>
    <row r="177">
      <c r="A177" s="4" t="inlineStr">
        <is>
          <t>25-PC-36251</t>
        </is>
      </c>
      <c r="B177" s="4" t="inlineStr">
        <is>
          <t>Kestrel Butte Environmental Review Support</t>
        </is>
      </c>
      <c r="C177" s="4" t="inlineStr">
        <is>
          <t>Fixed fee</t>
        </is>
      </c>
      <c r="D177" s="4" t="inlineStr">
        <is>
          <t>Lab/Curation</t>
        </is>
      </c>
      <c r="E177" s="4" t="inlineStr">
        <is>
          <t>Joan Mathis</t>
        </is>
      </c>
      <c r="F177" s="5" t="n">
        <v>39200</v>
      </c>
      <c r="G177" s="5" t="n">
        <v>30446.64</v>
      </c>
      <c r="H177" s="5" t="n">
        <v>30446.64</v>
      </c>
      <c r="I177" s="5" t="n">
        <v>0</v>
      </c>
      <c r="J177" s="5" t="n">
        <v>39200</v>
      </c>
      <c r="K177" s="6" t="n">
        <v>1</v>
      </c>
      <c r="L177" s="5" t="n">
        <v>49335.55</v>
      </c>
      <c r="M177" s="5" t="n">
        <v>-18888.91</v>
      </c>
      <c r="N177" s="6">
        <f>IF(G177=0,0,L177/G177)</f>
        <v/>
      </c>
      <c r="O177" s="5">
        <f>J177-L177</f>
        <v/>
      </c>
      <c r="P177" s="4" t="inlineStr">
        <is>
          <t>Island</t>
        </is>
      </c>
    </row>
    <row r="178">
      <c r="A178" s="4" t="inlineStr">
        <is>
          <t>25-PC-36263</t>
        </is>
      </c>
      <c r="B178" s="4" t="inlineStr">
        <is>
          <t>Creosote Draw Highway Widening - Class III Survey</t>
        </is>
      </c>
      <c r="C178" s="4" t="inlineStr">
        <is>
          <t>Time and material</t>
        </is>
      </c>
      <c r="D178" s="4" t="inlineStr">
        <is>
          <t>In Progress</t>
        </is>
      </c>
      <c r="E178" s="4" t="inlineStr">
        <is>
          <t>Joan Mathis</t>
        </is>
      </c>
      <c r="F178" s="5" t="n">
        <v>28100</v>
      </c>
      <c r="G178" s="5" t="n">
        <v>19141.72</v>
      </c>
      <c r="H178" s="5" t="n">
        <v>19141.72</v>
      </c>
      <c r="I178" s="5" t="n">
        <v>0</v>
      </c>
      <c r="J178" s="5" t="n">
        <v>24522.2</v>
      </c>
      <c r="K178" s="6" t="n">
        <v>0.873</v>
      </c>
      <c r="L178" s="5" t="n">
        <v>16573.11</v>
      </c>
      <c r="M178" s="5" t="n">
        <v>2568.610000000001</v>
      </c>
      <c r="N178" s="6">
        <f>IF(G178=0,0,L178/G178)</f>
        <v/>
      </c>
      <c r="O178" s="5">
        <f>J178-L178</f>
        <v/>
      </c>
      <c r="P178" s="4" t="inlineStr">
        <is>
          <t>Island</t>
        </is>
      </c>
    </row>
    <row r="179">
      <c r="A179" s="4" t="inlineStr">
        <is>
          <t>25-PC-36336</t>
        </is>
      </c>
      <c r="B179" s="4" t="inlineStr">
        <is>
          <t>Sea Oat Canal Lining Data Recovery</t>
        </is>
      </c>
      <c r="C179" s="4" t="inlineStr">
        <is>
          <t>Fixed fee</t>
        </is>
      </c>
      <c r="D179" s="4" t="inlineStr">
        <is>
          <t>In Progress</t>
        </is>
      </c>
      <c r="E179" s="4" t="inlineStr">
        <is>
          <t>Briana Melton</t>
        </is>
      </c>
      <c r="F179" s="5" t="n">
        <v>36400</v>
      </c>
      <c r="G179" s="5" t="n">
        <v>25854.92</v>
      </c>
      <c r="H179" s="5" t="n">
        <v>25854.92</v>
      </c>
      <c r="I179" s="5" t="n">
        <v>0</v>
      </c>
      <c r="J179" s="5" t="n">
        <v>33364.24</v>
      </c>
      <c r="K179" s="6" t="n">
        <v>0.917</v>
      </c>
      <c r="L179" s="5" t="n">
        <v>23699.14</v>
      </c>
      <c r="M179" s="5" t="n">
        <v>2155.779999999999</v>
      </c>
      <c r="N179" s="6">
        <f>IF(G179=0,0,L179/G179)</f>
        <v/>
      </c>
      <c r="O179" s="5">
        <f>J179-L179</f>
        <v/>
      </c>
      <c r="P179" s="4" t="inlineStr">
        <is>
          <t>Island</t>
        </is>
      </c>
    </row>
    <row r="180">
      <c r="A180" s="4" t="inlineStr">
        <is>
          <t>25-PC-36485</t>
        </is>
      </c>
      <c r="B180" s="4" t="inlineStr">
        <is>
          <t>Task Order 2: Larkspur Substation Historic Resources Evaluation</t>
        </is>
      </c>
      <c r="C180" s="4" t="inlineStr">
        <is>
          <t>Fixed fee</t>
        </is>
      </c>
      <c r="D180" s="4" t="inlineStr">
        <is>
          <t>In Progress</t>
        </is>
      </c>
      <c r="E180" s="4" t="inlineStr">
        <is>
          <t>Becky Velazquez</t>
        </is>
      </c>
      <c r="F180" s="5" t="n">
        <v>33100</v>
      </c>
      <c r="G180" s="5" t="n">
        <v>25870.96</v>
      </c>
      <c r="H180" s="5" t="n">
        <v>25870.96</v>
      </c>
      <c r="I180" s="5" t="n">
        <v>0</v>
      </c>
      <c r="J180" s="5" t="n">
        <v>33100</v>
      </c>
      <c r="K180" s="6" t="n">
        <v>1</v>
      </c>
      <c r="L180" s="5" t="n">
        <v>34277.75</v>
      </c>
      <c r="M180" s="5" t="n">
        <v>-8406.790000000001</v>
      </c>
      <c r="N180" s="6">
        <f>IF(G180=0,0,L180/G180)</f>
        <v/>
      </c>
      <c r="O180" s="5">
        <f>J180-L180</f>
        <v/>
      </c>
      <c r="P180" s="4" t="inlineStr">
        <is>
          <t>Island</t>
        </is>
      </c>
    </row>
    <row r="181">
      <c r="A181" s="4" t="inlineStr">
        <is>
          <t>25-PC-36507</t>
        </is>
      </c>
      <c r="B181" s="4" t="inlineStr">
        <is>
          <t>Saltgrass Cell Tower Phase II Testing</t>
        </is>
      </c>
      <c r="C181" s="4" t="inlineStr">
        <is>
          <t>Fixed fee</t>
        </is>
      </c>
      <c r="D181" s="4" t="inlineStr">
        <is>
          <t>In Progress</t>
        </is>
      </c>
      <c r="E181" s="4" t="inlineStr">
        <is>
          <t>Joan Mathis</t>
        </is>
      </c>
      <c r="F181" s="5" t="n">
        <v>88300</v>
      </c>
      <c r="G181" s="5" t="n">
        <v>54269.18</v>
      </c>
      <c r="H181" s="5" t="n">
        <v>54269.18</v>
      </c>
      <c r="I181" s="5" t="n">
        <v>0</v>
      </c>
      <c r="J181" s="5" t="n">
        <v>68397.17999999999</v>
      </c>
      <c r="K181" s="6" t="n">
        <v>0.775</v>
      </c>
      <c r="L181" s="5" t="n">
        <v>42036.07</v>
      </c>
      <c r="M181" s="5" t="n">
        <v>12233.11</v>
      </c>
      <c r="N181" s="6">
        <f>IF(G181=0,0,L181/G181)</f>
        <v/>
      </c>
      <c r="O181" s="5">
        <f>J181-L181</f>
        <v/>
      </c>
      <c r="P181" s="4" t="inlineStr">
        <is>
          <t>Island</t>
        </is>
      </c>
    </row>
    <row r="182">
      <c r="A182" s="4" t="inlineStr">
        <is>
          <t>25-PC-36573</t>
        </is>
      </c>
      <c r="B182" s="4" t="inlineStr">
        <is>
          <t>Eagle Bend Rail Siding - Maritime Remote Sensing Survey</t>
        </is>
      </c>
      <c r="C182" s="4" t="inlineStr">
        <is>
          <t>Fixed fee</t>
        </is>
      </c>
      <c r="D182" s="4" t="inlineStr">
        <is>
          <t>In Progress</t>
        </is>
      </c>
      <c r="E182" s="4" t="inlineStr">
        <is>
          <t>Becky Velazquez</t>
        </is>
      </c>
      <c r="F182" s="5" t="n">
        <v>116000</v>
      </c>
      <c r="G182" s="5" t="n">
        <v>66050.39999999999</v>
      </c>
      <c r="H182" s="5" t="n">
        <v>66050.39999999999</v>
      </c>
      <c r="I182" s="5" t="n">
        <v>0</v>
      </c>
      <c r="J182" s="5" t="n">
        <v>85573.2</v>
      </c>
      <c r="K182" s="6" t="n">
        <v>0.738</v>
      </c>
      <c r="L182" s="5" t="n">
        <v>48723.63</v>
      </c>
      <c r="M182" s="5" t="n">
        <v>17326.77</v>
      </c>
      <c r="N182" s="6">
        <f>IF(G182=0,0,L182/G182)</f>
        <v/>
      </c>
      <c r="O182" s="5">
        <f>J182-L182</f>
        <v/>
      </c>
      <c r="P182" s="4" t="inlineStr">
        <is>
          <t>Island</t>
        </is>
      </c>
    </row>
    <row r="183">
      <c r="A183" s="4" t="inlineStr">
        <is>
          <t>25-PC-36641</t>
        </is>
      </c>
      <c r="B183" s="4" t="inlineStr">
        <is>
          <t>Sparrow Hill Airport Apron Phase II Testing</t>
        </is>
      </c>
      <c r="C183" s="4" t="inlineStr">
        <is>
          <t>Time and material</t>
        </is>
      </c>
      <c r="D183" s="4" t="inlineStr">
        <is>
          <t>In Progress</t>
        </is>
      </c>
      <c r="E183" s="4" t="inlineStr">
        <is>
          <t>Lucas Benson</t>
        </is>
      </c>
      <c r="F183" s="5" t="n">
        <v>181300</v>
      </c>
      <c r="G183" s="5" t="n">
        <v>117609.31</v>
      </c>
      <c r="H183" s="5" t="n">
        <v>117609.31</v>
      </c>
      <c r="I183" s="5" t="n">
        <v>0</v>
      </c>
      <c r="J183" s="5" t="n">
        <v>181300</v>
      </c>
      <c r="K183" s="6" t="n">
        <v>1</v>
      </c>
      <c r="L183" s="5" t="n">
        <v>164790.18</v>
      </c>
      <c r="M183" s="5" t="n">
        <v>-47180.87</v>
      </c>
      <c r="N183" s="6">
        <f>IF(G183=0,0,L183/G183)</f>
        <v/>
      </c>
      <c r="O183" s="5">
        <f>J183-L183</f>
        <v/>
      </c>
      <c r="P183" s="4" t="inlineStr">
        <is>
          <t>Lakeshore</t>
        </is>
      </c>
    </row>
    <row r="184">
      <c r="A184" s="4" t="inlineStr">
        <is>
          <t>25-PC-36645</t>
        </is>
      </c>
      <c r="B184" s="4" t="inlineStr">
        <is>
          <t>Falcon Mesa Archaeological Testing</t>
        </is>
      </c>
      <c r="C184" s="4" t="inlineStr">
        <is>
          <t>Fixed fee</t>
        </is>
      </c>
      <c r="D184" s="4" t="inlineStr">
        <is>
          <t>In Progress</t>
        </is>
      </c>
      <c r="E184" s="4" t="inlineStr">
        <is>
          <t>Jeanette Riddle</t>
        </is>
      </c>
      <c r="F184" s="5" t="n">
        <v>25400</v>
      </c>
      <c r="G184" s="5" t="n">
        <v>20302.22</v>
      </c>
      <c r="H184" s="5" t="n">
        <v>20302.22</v>
      </c>
      <c r="I184" s="5" t="n">
        <v>0</v>
      </c>
      <c r="J184" s="5" t="n">
        <v>25400</v>
      </c>
      <c r="K184" s="6" t="n">
        <v>1</v>
      </c>
      <c r="L184" s="5" t="n">
        <v>38922.61</v>
      </c>
      <c r="M184" s="5" t="n">
        <v>-18620.39</v>
      </c>
      <c r="N184" s="6">
        <f>IF(G184=0,0,L184/G184)</f>
        <v/>
      </c>
      <c r="O184" s="5">
        <f>J184-L184</f>
        <v/>
      </c>
      <c r="P184" s="4" t="inlineStr">
        <is>
          <t>Lakeshore</t>
        </is>
      </c>
    </row>
    <row r="185">
      <c r="A185" s="4" t="inlineStr">
        <is>
          <t>25-PC-36646</t>
        </is>
      </c>
      <c r="B185" s="4" t="inlineStr">
        <is>
          <t>Copper Flats Pipeline Section 106 Consultation</t>
        </is>
      </c>
      <c r="C185" s="4" t="inlineStr">
        <is>
          <t>Time and material</t>
        </is>
      </c>
      <c r="D185" s="4" t="inlineStr">
        <is>
          <t>In Progress</t>
        </is>
      </c>
      <c r="E185" s="4" t="inlineStr">
        <is>
          <t>Lucas Benson</t>
        </is>
      </c>
      <c r="F185" s="5" t="n">
        <v>137400</v>
      </c>
      <c r="G185" s="5" t="n">
        <v>99958.5</v>
      </c>
      <c r="H185" s="5" t="n">
        <v>99958.5</v>
      </c>
      <c r="I185" s="5" t="n">
        <v>0</v>
      </c>
      <c r="J185" s="5" t="n">
        <v>108023.85</v>
      </c>
      <c r="K185" s="6" t="n">
        <v>0.786</v>
      </c>
      <c r="L185" s="5" t="n">
        <v>83440.53999999999</v>
      </c>
      <c r="M185" s="5" t="n">
        <v>16517.96000000001</v>
      </c>
      <c r="N185" s="6">
        <f>IF(G185=0,0,L185/G185)</f>
        <v/>
      </c>
      <c r="O185" s="5">
        <f>J185-L185</f>
        <v/>
      </c>
      <c r="P185" s="4" t="inlineStr">
        <is>
          <t>Lakeshore</t>
        </is>
      </c>
    </row>
    <row r="186">
      <c r="A186" s="4" t="inlineStr">
        <is>
          <t>25-PC-36761</t>
        </is>
      </c>
      <c r="B186" s="4" t="inlineStr">
        <is>
          <t>Copper Flats Mine Expansion Built Environment Survey</t>
        </is>
      </c>
      <c r="C186" s="4" t="inlineStr">
        <is>
          <t>Fixed fee</t>
        </is>
      </c>
      <c r="D186" s="4" t="inlineStr">
        <is>
          <t>Final Reporting/Review</t>
        </is>
      </c>
      <c r="E186" s="4" t="inlineStr">
        <is>
          <t>Jeanette Riddle</t>
        </is>
      </c>
      <c r="F186" s="5" t="n">
        <v>74000</v>
      </c>
      <c r="G186" s="5" t="n">
        <v>56358.4</v>
      </c>
      <c r="H186" s="5" t="n">
        <v>56358.4</v>
      </c>
      <c r="I186" s="5" t="n">
        <v>0</v>
      </c>
      <c r="J186" s="5" t="n">
        <v>74000</v>
      </c>
      <c r="K186" s="6" t="n">
        <v>1</v>
      </c>
      <c r="L186" s="5" t="n">
        <v>66079.16</v>
      </c>
      <c r="M186" s="5" t="n">
        <v>-9720.760000000002</v>
      </c>
      <c r="N186" s="6">
        <f>IF(G186=0,0,L186/G186)</f>
        <v/>
      </c>
      <c r="O186" s="5">
        <f>J186-L186</f>
        <v/>
      </c>
      <c r="P186" s="4" t="inlineStr">
        <is>
          <t>Lakeshore</t>
        </is>
      </c>
    </row>
    <row r="187">
      <c r="A187" s="4" t="inlineStr">
        <is>
          <t>25-PC-36799</t>
        </is>
      </c>
      <c r="B187" s="4" t="inlineStr">
        <is>
          <t>Meadowlark Substation Phase I Survey</t>
        </is>
      </c>
      <c r="C187" s="4" t="inlineStr">
        <is>
          <t>Fixed fee</t>
        </is>
      </c>
      <c r="D187" s="4" t="inlineStr">
        <is>
          <t>Final Reporting/Review</t>
        </is>
      </c>
      <c r="E187" s="4" t="inlineStr">
        <is>
          <t>Gail Meza</t>
        </is>
      </c>
      <c r="F187" s="5" t="n">
        <v>32900</v>
      </c>
      <c r="G187" s="5" t="n">
        <v>26389.09</v>
      </c>
      <c r="H187" s="5" t="n">
        <v>26389.09</v>
      </c>
      <c r="I187" s="5" t="n">
        <v>0</v>
      </c>
      <c r="J187" s="5" t="n">
        <v>32900</v>
      </c>
      <c r="K187" s="6" t="n">
        <v>1</v>
      </c>
      <c r="L187" s="5" t="n">
        <v>33048.52</v>
      </c>
      <c r="M187" s="5" t="n">
        <v>-6659.429999999997</v>
      </c>
      <c r="N187" s="6">
        <f>IF(G187=0,0,L187/G187)</f>
        <v/>
      </c>
      <c r="O187" s="5">
        <f>J187-L187</f>
        <v/>
      </c>
      <c r="P187" s="4" t="inlineStr">
        <is>
          <t>Hill Country</t>
        </is>
      </c>
    </row>
    <row r="188">
      <c r="A188" s="4" t="inlineStr">
        <is>
          <t>25-PC-36809</t>
        </is>
      </c>
      <c r="B188" s="4" t="inlineStr">
        <is>
          <t>Sandpiper Park Improvements - Archaeological Testing</t>
        </is>
      </c>
      <c r="C188" s="4" t="inlineStr">
        <is>
          <t>Fixed fee</t>
        </is>
      </c>
      <c r="D188" s="4" t="inlineStr">
        <is>
          <t>In Progress</t>
        </is>
      </c>
      <c r="E188" s="4" t="inlineStr">
        <is>
          <t>Samuel Wilkerson</t>
        </is>
      </c>
      <c r="F188" s="5" t="n">
        <v>24200</v>
      </c>
      <c r="G188" s="5" t="n">
        <v>16235.78</v>
      </c>
      <c r="H188" s="5" t="n">
        <v>16235.78</v>
      </c>
      <c r="I188" s="5" t="n">
        <v>0</v>
      </c>
      <c r="J188" s="5" t="n">
        <v>24200</v>
      </c>
      <c r="K188" s="6" t="n">
        <v>1</v>
      </c>
      <c r="L188" s="5" t="n">
        <v>26420.57</v>
      </c>
      <c r="M188" s="5" t="n">
        <v>-10184.79</v>
      </c>
      <c r="N188" s="6">
        <f>IF(G188=0,0,L188/G188)</f>
        <v/>
      </c>
      <c r="O188" s="5">
        <f>J188-L188</f>
        <v/>
      </c>
      <c r="P188" s="4" t="inlineStr">
        <is>
          <t>Hill Country</t>
        </is>
      </c>
    </row>
    <row r="189">
      <c r="A189" s="4" t="inlineStr">
        <is>
          <t>25-PC-37164</t>
        </is>
      </c>
      <c r="B189" s="4" t="inlineStr">
        <is>
          <t>Yarrow Point Wastewater Plant - Phase I Survey</t>
        </is>
      </c>
      <c r="C189" s="4" t="inlineStr">
        <is>
          <t>Time and material</t>
        </is>
      </c>
      <c r="D189" s="4" t="inlineStr">
        <is>
          <t>In Progress</t>
        </is>
      </c>
      <c r="E189" s="4" t="inlineStr">
        <is>
          <t>Glen Delacruz</t>
        </is>
      </c>
      <c r="F189" s="5" t="n">
        <v>75400</v>
      </c>
      <c r="G189" s="5" t="n">
        <v>50299.34</v>
      </c>
      <c r="H189" s="5" t="n">
        <v>50299.34</v>
      </c>
      <c r="I189" s="5" t="n">
        <v>0</v>
      </c>
      <c r="J189" s="5" t="n">
        <v>75400</v>
      </c>
      <c r="K189" s="6" t="n">
        <v>1</v>
      </c>
      <c r="L189" s="5" t="n">
        <v>90901.92</v>
      </c>
      <c r="M189" s="5" t="n">
        <v>-40602.58</v>
      </c>
      <c r="N189" s="6">
        <f>IF(G189=0,0,L189/G189)</f>
        <v/>
      </c>
      <c r="O189" s="5">
        <f>J189-L189</f>
        <v/>
      </c>
      <c r="P189" s="4" t="inlineStr">
        <is>
          <t>Hill Country</t>
        </is>
      </c>
    </row>
    <row r="190">
      <c r="A190" s="4" t="inlineStr">
        <is>
          <t>25-PC-37392</t>
        </is>
      </c>
      <c r="B190" s="4" t="inlineStr">
        <is>
          <t>Eagle Bend Wind Farm - Phase I Survey</t>
        </is>
      </c>
      <c r="C190" s="4" t="inlineStr">
        <is>
          <t>Fixed fee</t>
        </is>
      </c>
      <c r="D190" s="4" t="inlineStr">
        <is>
          <t>In Progress</t>
        </is>
      </c>
      <c r="E190" s="4" t="inlineStr">
        <is>
          <t>Maria Parrish</t>
        </is>
      </c>
      <c r="F190" s="5" t="n">
        <v>59200</v>
      </c>
      <c r="G190" s="5" t="n">
        <v>50698.88</v>
      </c>
      <c r="H190" s="5" t="n">
        <v>50698.88</v>
      </c>
      <c r="I190" s="5" t="n">
        <v>0</v>
      </c>
      <c r="J190" s="5" t="n">
        <v>54913.92</v>
      </c>
      <c r="K190" s="6" t="n">
        <v>0.928</v>
      </c>
      <c r="L190" s="5" t="n">
        <v>47030.53</v>
      </c>
      <c r="M190" s="5" t="n">
        <v>3668.349999999999</v>
      </c>
      <c r="N190" s="6">
        <f>IF(G190=0,0,L190/G190)</f>
        <v/>
      </c>
      <c r="O190" s="5">
        <f>J190-L190</f>
        <v/>
      </c>
      <c r="P190" s="4" t="inlineStr">
        <is>
          <t>Piedmont</t>
        </is>
      </c>
    </row>
    <row r="191">
      <c r="A191" s="4" t="inlineStr">
        <is>
          <t>25-PC-37461</t>
        </is>
      </c>
      <c r="B191" s="4" t="inlineStr">
        <is>
          <t>On-Call: Dove Canyon Fiber Route Cultural Resources Monitoring</t>
        </is>
      </c>
      <c r="C191" s="4" t="inlineStr">
        <is>
          <t>Time and material</t>
        </is>
      </c>
      <c r="D191" s="4" t="inlineStr">
        <is>
          <t>Cost Tracking on Closed Project</t>
        </is>
      </c>
      <c r="E191" s="4" t="inlineStr">
        <is>
          <t>Megan Pineda</t>
        </is>
      </c>
      <c r="F191" s="5" t="n">
        <v>83200</v>
      </c>
      <c r="G191" s="5" t="n">
        <v>60186.88</v>
      </c>
      <c r="H191" s="5" t="n">
        <v>60186.88</v>
      </c>
      <c r="I191" s="5" t="n">
        <v>0</v>
      </c>
      <c r="J191" s="5" t="n">
        <v>22297.6</v>
      </c>
      <c r="K191" s="6" t="n">
        <v>0.268</v>
      </c>
      <c r="L191" s="5" t="n">
        <v>78242.94</v>
      </c>
      <c r="M191" s="5" t="n">
        <v>-18056.06</v>
      </c>
      <c r="N191" s="6">
        <f>IF(G191=0,0,L191/G191)</f>
        <v/>
      </c>
      <c r="O191" s="5">
        <f>J191-L191</f>
        <v/>
      </c>
      <c r="P191" s="4" t="inlineStr">
        <is>
          <t>Piedmont</t>
        </is>
      </c>
    </row>
    <row r="192">
      <c r="A192" s="4" t="inlineStr">
        <is>
          <t>25-PC-37509</t>
        </is>
      </c>
      <c r="B192" s="4" t="inlineStr">
        <is>
          <t>On-Call: Wildrye Bridge Replacement Section 106 Consultation</t>
        </is>
      </c>
      <c r="C192" s="4" t="inlineStr">
        <is>
          <t>Time and material</t>
        </is>
      </c>
      <c r="D192" s="4" t="inlineStr">
        <is>
          <t>In Progress</t>
        </is>
      </c>
      <c r="E192" s="4" t="inlineStr">
        <is>
          <t>Jody Chung</t>
        </is>
      </c>
      <c r="F192" s="5" t="n">
        <v>458200</v>
      </c>
      <c r="G192" s="5" t="n">
        <v>301449.78</v>
      </c>
      <c r="H192" s="5" t="n">
        <v>301449.78</v>
      </c>
      <c r="I192" s="5" t="n">
        <v>0</v>
      </c>
      <c r="J192" s="5" t="n">
        <v>311576</v>
      </c>
      <c r="K192" s="6" t="n">
        <v>0.68</v>
      </c>
      <c r="L192" s="5" t="n">
        <v>240796.49</v>
      </c>
      <c r="M192" s="5" t="n">
        <v>60653.29000000004</v>
      </c>
      <c r="N192" s="6">
        <f>IF(G192=0,0,L192/G192)</f>
        <v/>
      </c>
      <c r="O192" s="5">
        <f>J192-L192</f>
        <v/>
      </c>
      <c r="P192" s="4" t="inlineStr">
        <is>
          <t>Piedmont</t>
        </is>
      </c>
    </row>
    <row r="193">
      <c r="A193" s="4" t="inlineStr">
        <is>
          <t>25-PC-37522</t>
        </is>
      </c>
      <c r="B193" s="4" t="inlineStr">
        <is>
          <t>Sparrow Hill Canal Lining Built Environment Survey</t>
        </is>
      </c>
      <c r="C193" s="4" t="inlineStr">
        <is>
          <t>Fixed fee</t>
        </is>
      </c>
      <c r="D193" s="4" t="inlineStr">
        <is>
          <t>Lab/Curation</t>
        </is>
      </c>
      <c r="E193" s="4" t="inlineStr">
        <is>
          <t>Jody Chung</t>
        </is>
      </c>
      <c r="F193" s="5" t="n">
        <v>21500</v>
      </c>
      <c r="G193" s="5" t="n">
        <v>15617.6</v>
      </c>
      <c r="H193" s="5" t="n">
        <v>15617.6</v>
      </c>
      <c r="I193" s="5" t="n">
        <v>0</v>
      </c>
      <c r="J193" s="5" t="n">
        <v>21500</v>
      </c>
      <c r="K193" s="6" t="n">
        <v>1</v>
      </c>
      <c r="L193" s="5" t="n">
        <v>19499.41</v>
      </c>
      <c r="M193" s="5" t="n">
        <v>-3881.809999999999</v>
      </c>
      <c r="N193" s="6">
        <f>IF(G193=0,0,L193/G193)</f>
        <v/>
      </c>
      <c r="O193" s="5">
        <f>J193-L193</f>
        <v/>
      </c>
      <c r="P193" s="4" t="inlineStr">
        <is>
          <t>Piedmont</t>
        </is>
      </c>
    </row>
    <row r="194">
      <c r="A194" s="4" t="inlineStr">
        <is>
          <t>25-PC-37732</t>
        </is>
      </c>
      <c r="B194" s="4" t="inlineStr">
        <is>
          <t>Hawk Point Housing Development Class III Survey</t>
        </is>
      </c>
      <c r="C194" s="4" t="inlineStr">
        <is>
          <t>Fixed fee</t>
        </is>
      </c>
      <c r="D194" s="4" t="inlineStr">
        <is>
          <t>In Progress</t>
        </is>
      </c>
      <c r="E194" s="4" t="inlineStr">
        <is>
          <t>Megan Pineda</t>
        </is>
      </c>
      <c r="F194" s="5" t="n">
        <v>72900</v>
      </c>
      <c r="G194" s="5" t="n">
        <v>45824.94</v>
      </c>
      <c r="H194" s="5" t="n">
        <v>45824.94</v>
      </c>
      <c r="I194" s="5" t="n">
        <v>0</v>
      </c>
      <c r="J194" s="5" t="n">
        <v>64100.97</v>
      </c>
      <c r="K194" s="6" t="n">
        <v>0.879</v>
      </c>
      <c r="L194" s="5" t="n">
        <v>40294.47</v>
      </c>
      <c r="M194" s="5" t="n">
        <v>5530.470000000001</v>
      </c>
      <c r="N194" s="6">
        <f>IF(G194=0,0,L194/G194)</f>
        <v/>
      </c>
      <c r="O194" s="5">
        <f>J194-L194</f>
        <v/>
      </c>
      <c r="P194" s="4" t="inlineStr">
        <is>
          <t>Piedmont</t>
        </is>
      </c>
    </row>
    <row r="195">
      <c r="A195" s="4" t="inlineStr">
        <is>
          <t>25-PC-37786</t>
        </is>
      </c>
      <c r="B195" s="4" t="inlineStr">
        <is>
          <t>Fern Valley Wastewater Plant Paleontological Monitoring</t>
        </is>
      </c>
      <c r="C195" s="4" t="inlineStr">
        <is>
          <t>Time and material</t>
        </is>
      </c>
      <c r="D195" s="4" t="inlineStr">
        <is>
          <t>Final Reporting/Review</t>
        </is>
      </c>
      <c r="E195" s="4" t="inlineStr">
        <is>
          <t>Maria Parrish</t>
        </is>
      </c>
      <c r="F195" s="5" t="n">
        <v>72200</v>
      </c>
      <c r="G195" s="5" t="n">
        <v>44893.96</v>
      </c>
      <c r="H195" s="5" t="n">
        <v>44893.96</v>
      </c>
      <c r="I195" s="5" t="n">
        <v>0</v>
      </c>
      <c r="J195" s="5" t="n">
        <v>69466.7</v>
      </c>
      <c r="K195" s="6" t="n">
        <v>0.962</v>
      </c>
      <c r="L195" s="5" t="n">
        <v>57390.52</v>
      </c>
      <c r="M195" s="5" t="n">
        <v>-12496.56</v>
      </c>
      <c r="N195" s="6">
        <f>IF(G195=0,0,L195/G195)</f>
        <v/>
      </c>
      <c r="O195" s="5">
        <f>J195-L195</f>
        <v/>
      </c>
      <c r="P195" s="4" t="inlineStr">
        <is>
          <t>Piedmont</t>
        </is>
      </c>
    </row>
    <row r="196">
      <c r="A196" s="4" t="inlineStr">
        <is>
          <t>25-PC-37881</t>
        </is>
      </c>
      <c r="B196" s="4" t="inlineStr">
        <is>
          <t>Phase II: Heron Marsh Mine Expansion Historic Resources Evaluation</t>
        </is>
      </c>
      <c r="C196" s="4" t="inlineStr">
        <is>
          <t>Fixed fee</t>
        </is>
      </c>
      <c r="D196" s="4" t="inlineStr">
        <is>
          <t>In Progress</t>
        </is>
      </c>
      <c r="E196" s="4" t="inlineStr">
        <is>
          <t>Megan Pineda</t>
        </is>
      </c>
      <c r="F196" s="5" t="n">
        <v>7900</v>
      </c>
      <c r="G196" s="5" t="n">
        <v>6020.59</v>
      </c>
      <c r="H196" s="5" t="n">
        <v>6020.59</v>
      </c>
      <c r="I196" s="5" t="n">
        <v>0</v>
      </c>
      <c r="J196" s="5" t="n">
        <v>7900</v>
      </c>
      <c r="K196" s="6" t="n">
        <v>1</v>
      </c>
      <c r="L196" s="5" t="n">
        <v>6629.3</v>
      </c>
      <c r="M196" s="5" t="n">
        <v>-608.71</v>
      </c>
      <c r="N196" s="6">
        <f>IF(G196=0,0,L196/G196)</f>
        <v/>
      </c>
      <c r="O196" s="5">
        <f>J196-L196</f>
        <v/>
      </c>
      <c r="P196" s="4" t="inlineStr">
        <is>
          <t>Piedmont</t>
        </is>
      </c>
    </row>
    <row r="197">
      <c r="A197" s="4" t="inlineStr">
        <is>
          <t>25-PC-37975</t>
        </is>
      </c>
      <c r="B197" s="4" t="inlineStr">
        <is>
          <t>Hackberry Bend Battery Storage Environmental Review Support</t>
        </is>
      </c>
      <c r="C197" s="4" t="inlineStr">
        <is>
          <t>Fixed fee</t>
        </is>
      </c>
      <c r="D197" s="4" t="inlineStr">
        <is>
          <t>In Progress</t>
        </is>
      </c>
      <c r="E197" s="4" t="inlineStr">
        <is>
          <t>Sherry Lloyd</t>
        </is>
      </c>
      <c r="F197" s="5" t="n">
        <v>148100</v>
      </c>
      <c r="G197" s="5" t="n">
        <v>106809.72</v>
      </c>
      <c r="H197" s="5" t="n">
        <v>106809.72</v>
      </c>
      <c r="I197" s="5" t="n">
        <v>0</v>
      </c>
      <c r="J197" s="5" t="n">
        <v>109890.2</v>
      </c>
      <c r="K197" s="6" t="n">
        <v>0.742</v>
      </c>
      <c r="L197" s="5" t="n">
        <v>79254.52</v>
      </c>
      <c r="M197" s="5" t="n">
        <v>27555.2</v>
      </c>
      <c r="N197" s="6">
        <f>IF(G197=0,0,L197/G197)</f>
        <v/>
      </c>
      <c r="O197" s="5">
        <f>J197-L197</f>
        <v/>
      </c>
      <c r="P197" s="4" t="inlineStr">
        <is>
          <t>Prairie</t>
        </is>
      </c>
    </row>
    <row r="198">
      <c r="A198" s="4" t="inlineStr">
        <is>
          <t>25-PC-38042</t>
        </is>
      </c>
      <c r="B198" s="4" t="inlineStr">
        <is>
          <t>Oak Terrace School Campus GIS Mapping</t>
        </is>
      </c>
      <c r="C198" s="4" t="inlineStr">
        <is>
          <t>Fixed fee</t>
        </is>
      </c>
      <c r="D198" s="4" t="inlineStr">
        <is>
          <t>In Progress</t>
        </is>
      </c>
      <c r="E198" s="4" t="inlineStr">
        <is>
          <t>Sherry Lloyd</t>
        </is>
      </c>
      <c r="F198" s="5" t="n">
        <v>24300</v>
      </c>
      <c r="G198" s="5" t="n">
        <v>19082.79</v>
      </c>
      <c r="H198" s="5" t="n">
        <v>19082.79</v>
      </c>
      <c r="I198" s="5" t="n">
        <v>0</v>
      </c>
      <c r="J198" s="5" t="n">
        <v>20144.7</v>
      </c>
      <c r="K198" s="6" t="n">
        <v>0.829</v>
      </c>
      <c r="L198" s="5" t="n">
        <v>15820.03</v>
      </c>
      <c r="M198" s="5" t="n">
        <v>3262.76</v>
      </c>
      <c r="N198" s="6">
        <f>IF(G198=0,0,L198/G198)</f>
        <v/>
      </c>
      <c r="O198" s="5">
        <f>J198-L198</f>
        <v/>
      </c>
      <c r="P198" s="4" t="inlineStr">
        <is>
          <t>Prairie</t>
        </is>
      </c>
    </row>
    <row r="199">
      <c r="A199" s="4" t="inlineStr">
        <is>
          <t>25-PC-38180</t>
        </is>
      </c>
      <c r="B199" s="4" t="inlineStr">
        <is>
          <t>Task Order 22: Willow Springs Bridge Replacement Data Recovery</t>
        </is>
      </c>
      <c r="C199" s="4" t="inlineStr">
        <is>
          <t>Fixed fee</t>
        </is>
      </c>
      <c r="D199" s="4" t="inlineStr">
        <is>
          <t>In Progress</t>
        </is>
      </c>
      <c r="E199" s="4" t="inlineStr">
        <is>
          <t>Sherry Lloyd</t>
        </is>
      </c>
      <c r="F199" s="5" t="n">
        <v>25300</v>
      </c>
      <c r="G199" s="5" t="n">
        <v>16961.12</v>
      </c>
      <c r="H199" s="5" t="n">
        <v>16961.12</v>
      </c>
      <c r="I199" s="5" t="n">
        <v>0</v>
      </c>
      <c r="J199" s="5" t="n">
        <v>20781.42</v>
      </c>
      <c r="K199" s="6" t="n">
        <v>0.821</v>
      </c>
      <c r="L199" s="5" t="n">
        <v>13931.44</v>
      </c>
      <c r="M199" s="5" t="n">
        <v>3029.679999999998</v>
      </c>
      <c r="N199" s="6">
        <f>IF(G199=0,0,L199/G199)</f>
        <v/>
      </c>
      <c r="O199" s="5">
        <f>J199-L199</f>
        <v/>
      </c>
      <c r="P199" s="4" t="inlineStr">
        <is>
          <t>Prairie</t>
        </is>
      </c>
    </row>
    <row r="200">
      <c r="A200" s="4" t="inlineStr">
        <is>
          <t>25-PC-38352</t>
        </is>
      </c>
      <c r="B200" s="4" t="inlineStr">
        <is>
          <t>Phase III: Willow Springs Mine Expansion Cultural Resources Monitoring</t>
        </is>
      </c>
      <c r="C200" s="4" t="inlineStr">
        <is>
          <t>Fixed fee</t>
        </is>
      </c>
      <c r="D200" s="4" t="inlineStr">
        <is>
          <t>In Progress</t>
        </is>
      </c>
      <c r="E200" s="4" t="inlineStr">
        <is>
          <t>Sherry Lloyd</t>
        </is>
      </c>
      <c r="F200" s="5" t="n">
        <v>136400</v>
      </c>
      <c r="G200" s="5" t="n">
        <v>86736.75999999999</v>
      </c>
      <c r="H200" s="5" t="n">
        <v>86736.75999999999</v>
      </c>
      <c r="I200" s="5" t="n">
        <v>0</v>
      </c>
      <c r="J200" s="5" t="n">
        <v>99080.96000000001</v>
      </c>
      <c r="K200" s="6" t="n">
        <v>0.726</v>
      </c>
      <c r="L200" s="5" t="n">
        <v>63001.3</v>
      </c>
      <c r="M200" s="5" t="n">
        <v>23735.45999999999</v>
      </c>
      <c r="N200" s="6">
        <f>IF(G200=0,0,L200/G200)</f>
        <v/>
      </c>
      <c r="O200" s="5">
        <f>J200-L200</f>
        <v/>
      </c>
      <c r="P200" s="4" t="inlineStr">
        <is>
          <t>Prairie</t>
        </is>
      </c>
    </row>
    <row r="201">
      <c r="A201" s="4" t="inlineStr">
        <is>
          <t>25-PC-38540</t>
        </is>
      </c>
      <c r="B201" s="4" t="inlineStr">
        <is>
          <t>Ember Valley Park Improvements - Class III Survey</t>
        </is>
      </c>
      <c r="C201" s="4" t="inlineStr">
        <is>
          <t>Time and material</t>
        </is>
      </c>
      <c r="D201" s="4" t="inlineStr">
        <is>
          <t>In Progress</t>
        </is>
      </c>
      <c r="E201" s="4" t="inlineStr">
        <is>
          <t>Jeanette Chung</t>
        </is>
      </c>
      <c r="F201" s="5" t="n">
        <v>496400</v>
      </c>
      <c r="G201" s="5" t="n">
        <v>357705.84</v>
      </c>
      <c r="H201" s="5" t="n">
        <v>357705.84</v>
      </c>
      <c r="I201" s="5" t="n">
        <v>0</v>
      </c>
      <c r="J201" s="5" t="n">
        <v>481730.55</v>
      </c>
      <c r="K201" s="6" t="n">
        <v>0.97</v>
      </c>
      <c r="L201" s="5" t="n">
        <v>311579.9</v>
      </c>
      <c r="M201" s="5" t="n">
        <v>46125.94</v>
      </c>
      <c r="N201" s="6">
        <f>IF(G201=0,0,L201/G201)</f>
        <v/>
      </c>
      <c r="O201" s="5">
        <f>J201-L201</f>
        <v/>
      </c>
      <c r="P201" s="4" t="inlineStr">
        <is>
          <t>Red Rock</t>
        </is>
      </c>
    </row>
    <row r="202">
      <c r="A202" s="4" t="inlineStr">
        <is>
          <t>25-PC-38563</t>
        </is>
      </c>
      <c r="B202" s="4" t="inlineStr">
        <is>
          <t>Elk Meadow Highway Widening - Architectural History Survey</t>
        </is>
      </c>
      <c r="C202" s="4" t="inlineStr">
        <is>
          <t>Fixed fee</t>
        </is>
      </c>
      <c r="D202" s="4" t="inlineStr">
        <is>
          <t>In Progress</t>
        </is>
      </c>
      <c r="E202" s="4" t="inlineStr">
        <is>
          <t>Lydia Cisneros</t>
        </is>
      </c>
      <c r="F202" s="5" t="n">
        <v>176400</v>
      </c>
      <c r="G202" s="5" t="n">
        <v>137697.84</v>
      </c>
      <c r="H202" s="5" t="n">
        <v>137697.84</v>
      </c>
      <c r="I202" s="5" t="n">
        <v>0</v>
      </c>
      <c r="J202" s="5" t="n">
        <v>154297.08</v>
      </c>
      <c r="K202" s="6" t="n">
        <v>0.875</v>
      </c>
      <c r="L202" s="5" t="n">
        <v>120438.25</v>
      </c>
      <c r="M202" s="5" t="n">
        <v>17259.59</v>
      </c>
      <c r="N202" s="6">
        <f>IF(G202=0,0,L202/G202)</f>
        <v/>
      </c>
      <c r="O202" s="5">
        <f>J202-L202</f>
        <v/>
      </c>
      <c r="P202" s="4" t="inlineStr">
        <is>
          <t>Red Rock</t>
        </is>
      </c>
    </row>
    <row r="203">
      <c r="A203" s="4" t="inlineStr">
        <is>
          <t>25-PC-38701</t>
        </is>
      </c>
      <c r="B203" s="4" t="inlineStr">
        <is>
          <t>Slate Ridge Curation</t>
        </is>
      </c>
      <c r="C203" s="4" t="inlineStr">
        <is>
          <t>Time and material</t>
        </is>
      </c>
      <c r="D203" s="4" t="inlineStr">
        <is>
          <t>In Progress</t>
        </is>
      </c>
      <c r="E203" s="4" t="inlineStr">
        <is>
          <t>Javier Newman</t>
        </is>
      </c>
      <c r="F203" s="5" t="n">
        <v>156400</v>
      </c>
      <c r="G203" s="5" t="n">
        <v>98735.32000000001</v>
      </c>
      <c r="H203" s="5" t="n">
        <v>98735.32000000001</v>
      </c>
      <c r="I203" s="5" t="n">
        <v>0</v>
      </c>
      <c r="J203" s="5" t="n">
        <v>109600.75</v>
      </c>
      <c r="K203" s="6" t="n">
        <v>0.701</v>
      </c>
      <c r="L203" s="5" t="n">
        <v>71024.19</v>
      </c>
      <c r="M203" s="5" t="n">
        <v>27711.13</v>
      </c>
      <c r="N203" s="6">
        <f>IF(G203=0,0,L203/G203)</f>
        <v/>
      </c>
      <c r="O203" s="5">
        <f>J203-L203</f>
        <v/>
      </c>
      <c r="P203" s="4" t="inlineStr">
        <is>
          <t>Red Rock</t>
        </is>
      </c>
    </row>
    <row r="204">
      <c r="A204" s="4" t="inlineStr">
        <is>
          <t>25-PC-38754</t>
        </is>
      </c>
      <c r="B204" s="4" t="inlineStr">
        <is>
          <t>On-Call: Sparrow Hill Solar Section 106 Consultation</t>
        </is>
      </c>
      <c r="C204" s="4" t="inlineStr">
        <is>
          <t>Fixed fee</t>
        </is>
      </c>
      <c r="D204" s="4" t="inlineStr">
        <is>
          <t>In Progress</t>
        </is>
      </c>
      <c r="E204" s="4" t="inlineStr">
        <is>
          <t>Javier Newman</t>
        </is>
      </c>
      <c r="F204" s="5" t="n">
        <v>63900</v>
      </c>
      <c r="G204" s="5" t="n">
        <v>41637.24</v>
      </c>
      <c r="H204" s="5" t="n">
        <v>41637.24</v>
      </c>
      <c r="I204" s="5" t="n">
        <v>0</v>
      </c>
      <c r="J204" s="5" t="n">
        <v>63900</v>
      </c>
      <c r="K204" s="6" t="n">
        <v>1</v>
      </c>
      <c r="L204" s="5" t="n">
        <v>60770.39</v>
      </c>
      <c r="M204" s="5" t="n">
        <v>-19133.15</v>
      </c>
      <c r="N204" s="6">
        <f>IF(G204=0,0,L204/G204)</f>
        <v/>
      </c>
      <c r="O204" s="5">
        <f>J204-L204</f>
        <v/>
      </c>
      <c r="P204" s="4" t="inlineStr">
        <is>
          <t>Red Rock</t>
        </is>
      </c>
    </row>
    <row r="205">
      <c r="A205" s="4" t="inlineStr">
        <is>
          <t>25-PC-38835</t>
        </is>
      </c>
      <c r="B205" s="4" t="inlineStr">
        <is>
          <t>Phase I: Windmill Flat Battery Storage Archaeological Testing</t>
        </is>
      </c>
      <c r="C205" s="4" t="inlineStr">
        <is>
          <t>Fixed fee</t>
        </is>
      </c>
      <c r="D205" s="4" t="inlineStr">
        <is>
          <t>Final Reporting/Review</t>
        </is>
      </c>
      <c r="E205" s="4" t="inlineStr">
        <is>
          <t>Bruce Suarez</t>
        </is>
      </c>
      <c r="F205" s="5" t="n">
        <v>10400</v>
      </c>
      <c r="G205" s="5" t="n">
        <v>5866.64</v>
      </c>
      <c r="H205" s="5" t="n">
        <v>5866.64</v>
      </c>
      <c r="I205" s="5" t="n">
        <v>0</v>
      </c>
      <c r="J205" s="5" t="n">
        <v>10400</v>
      </c>
      <c r="K205" s="6" t="n">
        <v>1</v>
      </c>
      <c r="L205" s="5" t="n">
        <v>18017.52</v>
      </c>
      <c r="M205" s="5" t="n">
        <v>-12150.88</v>
      </c>
      <c r="N205" s="6">
        <f>IF(G205=0,0,L205/G205)</f>
        <v/>
      </c>
      <c r="O205" s="5">
        <f>J205-L205</f>
        <v/>
      </c>
      <c r="P205" s="4" t="inlineStr">
        <is>
          <t>Red Rock</t>
        </is>
      </c>
    </row>
    <row r="206">
      <c r="A206" s="4" t="inlineStr">
        <is>
          <t>25-PC-38879</t>
        </is>
      </c>
      <c r="B206" s="4" t="inlineStr">
        <is>
          <t>Kestrel Butte Built Environment Survey</t>
        </is>
      </c>
      <c r="C206" s="4" t="inlineStr">
        <is>
          <t>Fixed fee</t>
        </is>
      </c>
      <c r="D206" s="4" t="inlineStr">
        <is>
          <t>In Progress</t>
        </is>
      </c>
      <c r="E206" s="4" t="inlineStr">
        <is>
          <t>Marisa Odom</t>
        </is>
      </c>
      <c r="F206" s="5" t="n">
        <v>119700</v>
      </c>
      <c r="G206" s="5" t="n">
        <v>70323.75</v>
      </c>
      <c r="H206" s="5" t="n">
        <v>70323.75</v>
      </c>
      <c r="I206" s="5" t="n">
        <v>0</v>
      </c>
      <c r="J206" s="5" t="n">
        <v>88482.24000000001</v>
      </c>
      <c r="K206" s="6" t="n">
        <v>0.739</v>
      </c>
      <c r="L206" s="5" t="n">
        <v>51984.23</v>
      </c>
      <c r="M206" s="5" t="n">
        <v>18339.52</v>
      </c>
      <c r="N206" s="6">
        <f>IF(G206=0,0,L206/G206)</f>
        <v/>
      </c>
      <c r="O206" s="5">
        <f>J206-L206</f>
        <v/>
      </c>
      <c r="P206" s="4" t="inlineStr">
        <is>
          <t>Red Rock</t>
        </is>
      </c>
    </row>
    <row r="207">
      <c r="A207" s="4" t="inlineStr">
        <is>
          <t>25-PC-39035</t>
        </is>
      </c>
      <c r="B207" s="4" t="inlineStr">
        <is>
          <t>Rushgrass Draw School Campus - Built Environment Survey</t>
        </is>
      </c>
      <c r="C207" s="4" t="inlineStr">
        <is>
          <t>Time and material</t>
        </is>
      </c>
      <c r="D207" s="4" t="inlineStr">
        <is>
          <t>In Progress</t>
        </is>
      </c>
      <c r="E207" s="4" t="inlineStr">
        <is>
          <t>Tina Aguirre</t>
        </is>
      </c>
      <c r="F207" s="5" t="n">
        <v>244000</v>
      </c>
      <c r="G207" s="5" t="n">
        <v>174704</v>
      </c>
      <c r="H207" s="5" t="n">
        <v>174704</v>
      </c>
      <c r="I207" s="5" t="n">
        <v>0</v>
      </c>
      <c r="J207" s="5" t="n">
        <v>201680</v>
      </c>
      <c r="K207" s="6" t="n">
        <v>0.827</v>
      </c>
      <c r="L207" s="5" t="n">
        <v>157468.07</v>
      </c>
      <c r="M207" s="5" t="n">
        <v>17235.92999999999</v>
      </c>
      <c r="N207" s="6">
        <f>IF(G207=0,0,L207/G207)</f>
        <v/>
      </c>
      <c r="O207" s="5">
        <f>J207-L207</f>
        <v/>
      </c>
      <c r="P207" s="4" t="inlineStr">
        <is>
          <t>Red Rock</t>
        </is>
      </c>
    </row>
    <row r="208">
      <c r="A208" s="4" t="inlineStr">
        <is>
          <t>25-PC-39085</t>
        </is>
      </c>
      <c r="B208" s="4" t="inlineStr">
        <is>
          <t>Slate Ridge Environmental Review Support</t>
        </is>
      </c>
      <c r="C208" s="4" t="inlineStr">
        <is>
          <t>Fixed fee</t>
        </is>
      </c>
      <c r="D208" s="4" t="inlineStr">
        <is>
          <t>In Progress</t>
        </is>
      </c>
      <c r="E208" s="4" t="inlineStr">
        <is>
          <t>Bruce Suarez</t>
        </is>
      </c>
      <c r="F208" s="5" t="n">
        <v>120700</v>
      </c>
      <c r="G208" s="5" t="n">
        <v>69209.38</v>
      </c>
      <c r="H208" s="5" t="n">
        <v>69209.38</v>
      </c>
      <c r="I208" s="5" t="n">
        <v>0</v>
      </c>
      <c r="J208" s="5" t="n">
        <v>119806.82</v>
      </c>
      <c r="K208" s="6" t="n">
        <v>0.993</v>
      </c>
      <c r="L208" s="5" t="n">
        <v>68696.85000000001</v>
      </c>
      <c r="M208" s="5" t="n">
        <v>512.5299999999988</v>
      </c>
      <c r="N208" s="6">
        <f>IF(G208=0,0,L208/G208)</f>
        <v/>
      </c>
      <c r="O208" s="5">
        <f>J208-L208</f>
        <v/>
      </c>
      <c r="P208" s="4" t="inlineStr">
        <is>
          <t>Red Rock</t>
        </is>
      </c>
    </row>
    <row r="209">
      <c r="A209" s="4" t="inlineStr">
        <is>
          <t>25-PC-39118</t>
        </is>
      </c>
      <c r="B209" s="4" t="inlineStr">
        <is>
          <t>Harbor View Harbor Dredging Cultural Resources Monitoring</t>
        </is>
      </c>
      <c r="C209" s="4" t="inlineStr">
        <is>
          <t>Fixed fee</t>
        </is>
      </c>
      <c r="D209" s="4" t="inlineStr">
        <is>
          <t>In Progress</t>
        </is>
      </c>
      <c r="E209" s="4" t="inlineStr">
        <is>
          <t>Shelia Horne</t>
        </is>
      </c>
      <c r="F209" s="5" t="n">
        <v>90300</v>
      </c>
      <c r="G209" s="5" t="n">
        <v>58198.35</v>
      </c>
      <c r="H209" s="5" t="n">
        <v>58198.35</v>
      </c>
      <c r="I209" s="5" t="n">
        <v>0</v>
      </c>
      <c r="J209" s="5" t="n">
        <v>67986.87</v>
      </c>
      <c r="K209" s="6" t="n">
        <v>0.753</v>
      </c>
      <c r="L209" s="5" t="n">
        <v>43819.98</v>
      </c>
      <c r="M209" s="5" t="n">
        <v>14378.37</v>
      </c>
      <c r="N209" s="6">
        <f>IF(G209=0,0,L209/G209)</f>
        <v/>
      </c>
      <c r="O209" s="5">
        <f>J209-L209</f>
        <v/>
      </c>
      <c r="P209" s="4" t="inlineStr">
        <is>
          <t>Red Rock</t>
        </is>
      </c>
    </row>
    <row r="210">
      <c r="A210" s="4" t="inlineStr">
        <is>
          <t>25-PC-39358</t>
        </is>
      </c>
      <c r="B210" s="4" t="inlineStr">
        <is>
          <t>Task Order 1: Hawk Point Wastewater Plant Archaeological Testing</t>
        </is>
      </c>
      <c r="C210" s="4" t="inlineStr">
        <is>
          <t>Time and material</t>
        </is>
      </c>
      <c r="D210" s="4" t="inlineStr">
        <is>
          <t>Final Reporting/Review</t>
        </is>
      </c>
      <c r="E210" s="4" t="inlineStr">
        <is>
          <t>Tina Aguirre</t>
        </is>
      </c>
      <c r="F210" s="5" t="n">
        <v>55900</v>
      </c>
      <c r="G210" s="5" t="n">
        <v>39633.1</v>
      </c>
      <c r="H210" s="5" t="n">
        <v>39633.1</v>
      </c>
      <c r="I210" s="5" t="n">
        <v>0</v>
      </c>
      <c r="J210" s="5" t="n">
        <v>55900</v>
      </c>
      <c r="K210" s="6" t="n">
        <v>1</v>
      </c>
      <c r="L210" s="5" t="n">
        <v>38428.92</v>
      </c>
      <c r="M210" s="5" t="n">
        <v>1204.18</v>
      </c>
      <c r="N210" s="6">
        <f>IF(G210=0,0,L210/G210)</f>
        <v/>
      </c>
      <c r="O210" s="5">
        <f>J210-L210</f>
        <v/>
      </c>
      <c r="P210" s="4" t="inlineStr">
        <is>
          <t>Red Rock</t>
        </is>
      </c>
    </row>
    <row r="211">
      <c r="A211" s="4" t="inlineStr">
        <is>
          <t>25-PC-39424</t>
        </is>
      </c>
      <c r="B211" s="4" t="inlineStr">
        <is>
          <t>Tansy Flat Cultural Resources Assessment</t>
        </is>
      </c>
      <c r="C211" s="4" t="inlineStr">
        <is>
          <t>Fixed fee</t>
        </is>
      </c>
      <c r="D211" s="4" t="inlineStr">
        <is>
          <t>In Progress</t>
        </is>
      </c>
      <c r="E211" s="4" t="inlineStr">
        <is>
          <t>Shelia Horne</t>
        </is>
      </c>
      <c r="F211" s="5" t="n">
        <v>19700</v>
      </c>
      <c r="G211" s="5" t="n">
        <v>13882.59</v>
      </c>
      <c r="H211" s="5" t="n">
        <v>13882.59</v>
      </c>
      <c r="I211" s="5" t="n">
        <v>0</v>
      </c>
      <c r="J211" s="5" t="n">
        <v>19700</v>
      </c>
      <c r="K211" s="6" t="n">
        <v>1</v>
      </c>
      <c r="L211" s="5" t="n">
        <v>16267.84</v>
      </c>
      <c r="M211" s="5" t="n">
        <v>-2385.25</v>
      </c>
      <c r="N211" s="6">
        <f>IF(G211=0,0,L211/G211)</f>
        <v/>
      </c>
      <c r="O211" s="5">
        <f>J211-L211</f>
        <v/>
      </c>
      <c r="P211" s="4" t="inlineStr">
        <is>
          <t>Red Rock</t>
        </is>
      </c>
    </row>
    <row r="212">
      <c r="A212" s="4" t="inlineStr">
        <is>
          <t>25-PC-39554</t>
        </is>
      </c>
      <c r="B212" s="4" t="inlineStr">
        <is>
          <t>Thistle Down Archaeological Testing</t>
        </is>
      </c>
      <c r="C212" s="4" t="inlineStr">
        <is>
          <t>Fixed fee</t>
        </is>
      </c>
      <c r="D212" s="4" t="inlineStr">
        <is>
          <t>In Progress</t>
        </is>
      </c>
      <c r="E212" s="4" t="inlineStr">
        <is>
          <t>Tina Aguirre</t>
        </is>
      </c>
      <c r="F212" s="5" t="n">
        <v>86700</v>
      </c>
      <c r="G212" s="5" t="n">
        <v>63594.45</v>
      </c>
      <c r="H212" s="5" t="n">
        <v>63594.45</v>
      </c>
      <c r="I212" s="5" t="n">
        <v>0</v>
      </c>
      <c r="J212" s="5" t="n">
        <v>75628.41</v>
      </c>
      <c r="K212" s="6" t="n">
        <v>0.872</v>
      </c>
      <c r="L212" s="5" t="n">
        <v>55476.01</v>
      </c>
      <c r="M212" s="5" t="n">
        <v>8118.439999999995</v>
      </c>
      <c r="N212" s="6">
        <f>IF(G212=0,0,L212/G212)</f>
        <v/>
      </c>
      <c r="O212" s="5">
        <f>J212-L212</f>
        <v/>
      </c>
      <c r="P212" s="4" t="inlineStr">
        <is>
          <t>Red Rock</t>
        </is>
      </c>
    </row>
    <row r="213">
      <c r="A213" s="4" t="inlineStr">
        <is>
          <t>25-PC-39765</t>
        </is>
      </c>
      <c r="B213" s="4" t="inlineStr">
        <is>
          <t>Phase II: Windmill Flat Wind Farm Built Environment Survey</t>
        </is>
      </c>
      <c r="C213" s="4" t="inlineStr">
        <is>
          <t>Time and material</t>
        </is>
      </c>
      <c r="D213" s="4" t="inlineStr">
        <is>
          <t>In Progress</t>
        </is>
      </c>
      <c r="E213" s="4" t="inlineStr">
        <is>
          <t>Javier Newman</t>
        </is>
      </c>
      <c r="F213" s="5" t="n">
        <v>51000</v>
      </c>
      <c r="G213" s="5" t="n">
        <v>36551.7</v>
      </c>
      <c r="H213" s="5" t="n">
        <v>36551.7</v>
      </c>
      <c r="I213" s="5" t="n">
        <v>0</v>
      </c>
      <c r="J213" s="5" t="n">
        <v>51000</v>
      </c>
      <c r="K213" s="6" t="n">
        <v>1</v>
      </c>
      <c r="L213" s="5" t="n">
        <v>75197.03999999999</v>
      </c>
      <c r="M213" s="5" t="n">
        <v>-38645.34</v>
      </c>
      <c r="N213" s="6">
        <f>IF(G213=0,0,L213/G213)</f>
        <v/>
      </c>
      <c r="O213" s="5">
        <f>J213-L213</f>
        <v/>
      </c>
      <c r="P213" s="4" t="inlineStr">
        <is>
          <t>Red Rock</t>
        </is>
      </c>
    </row>
    <row r="214">
      <c r="A214" s="4" t="inlineStr">
        <is>
          <t>25-PC-40383</t>
        </is>
      </c>
      <c r="B214" s="4" t="inlineStr">
        <is>
          <t>North Fork Archaeological Testing</t>
        </is>
      </c>
      <c r="C214" s="4" t="inlineStr">
        <is>
          <t>Fixed fee</t>
        </is>
      </c>
      <c r="D214" s="4" t="inlineStr">
        <is>
          <t>In Progress</t>
        </is>
      </c>
      <c r="E214" s="4" t="inlineStr">
        <is>
          <t>Donna Herring</t>
        </is>
      </c>
      <c r="F214" s="5" t="n">
        <v>193200</v>
      </c>
      <c r="G214" s="5" t="n">
        <v>144185.16</v>
      </c>
      <c r="H214" s="5" t="n">
        <v>144185.16</v>
      </c>
      <c r="I214" s="5" t="n">
        <v>0</v>
      </c>
      <c r="J214" s="5" t="n">
        <v>161148.12</v>
      </c>
      <c r="K214" s="6" t="n">
        <v>0.834</v>
      </c>
      <c r="L214" s="5" t="n">
        <v>120262.61</v>
      </c>
      <c r="M214" s="5" t="n">
        <v>23922.55</v>
      </c>
      <c r="N214" s="6">
        <f>IF(G214=0,0,L214/G214)</f>
        <v/>
      </c>
      <c r="O214" s="5">
        <f>J214-L214</f>
        <v/>
      </c>
      <c r="P214" s="4" t="inlineStr">
        <is>
          <t>Sierra</t>
        </is>
      </c>
    </row>
    <row r="215">
      <c r="A215" s="4" t="inlineStr">
        <is>
          <t>25-PC-40503</t>
        </is>
      </c>
      <c r="B215" s="4" t="inlineStr">
        <is>
          <t>Copper Flats Phase I Survey</t>
        </is>
      </c>
      <c r="C215" s="4" t="inlineStr">
        <is>
          <t>Time and material</t>
        </is>
      </c>
      <c r="D215" s="4" t="inlineStr">
        <is>
          <t>Lab/Curation</t>
        </is>
      </c>
      <c r="E215" s="4" t="inlineStr">
        <is>
          <t>Benjamin Mathis</t>
        </is>
      </c>
      <c r="F215" s="5" t="n">
        <v>43400</v>
      </c>
      <c r="G215" s="5" t="n">
        <v>30119.6</v>
      </c>
      <c r="H215" s="5" t="n">
        <v>30119.6</v>
      </c>
      <c r="I215" s="5" t="n">
        <v>0</v>
      </c>
      <c r="J215" s="5" t="n">
        <v>43400</v>
      </c>
      <c r="K215" s="6" t="n">
        <v>1</v>
      </c>
      <c r="L215" s="5" t="n">
        <v>42364.23</v>
      </c>
      <c r="M215" s="5" t="n">
        <v>-12244.63</v>
      </c>
      <c r="N215" s="6">
        <f>IF(G215=0,0,L215/G215)</f>
        <v/>
      </c>
      <c r="O215" s="5">
        <f>J215-L215</f>
        <v/>
      </c>
      <c r="P215" s="4" t="inlineStr">
        <is>
          <t>Sierra</t>
        </is>
      </c>
    </row>
    <row r="216">
      <c r="A216" s="4" t="inlineStr">
        <is>
          <t>25-PC-40523</t>
        </is>
      </c>
      <c r="B216" s="4" t="inlineStr">
        <is>
          <t>On-Call: Oak Terrace Reservoir Section 106 Consultation</t>
        </is>
      </c>
      <c r="C216" s="4" t="inlineStr">
        <is>
          <t>Time and material</t>
        </is>
      </c>
      <c r="D216" s="4" t="inlineStr">
        <is>
          <t>In Progress</t>
        </is>
      </c>
      <c r="E216" s="4" t="inlineStr">
        <is>
          <t>Donna Herring</t>
        </is>
      </c>
      <c r="F216" s="5" t="n">
        <v>71000</v>
      </c>
      <c r="G216" s="5" t="n">
        <v>49579.3</v>
      </c>
      <c r="H216" s="5" t="n">
        <v>49579.3</v>
      </c>
      <c r="I216" s="5" t="n">
        <v>0</v>
      </c>
      <c r="J216" s="5" t="n">
        <v>71000</v>
      </c>
      <c r="K216" s="6" t="n">
        <v>1</v>
      </c>
      <c r="L216" s="5" t="n">
        <v>76399.60000000001</v>
      </c>
      <c r="M216" s="5" t="n">
        <v>-26820.3</v>
      </c>
      <c r="N216" s="6">
        <f>IF(G216=0,0,L216/G216)</f>
        <v/>
      </c>
      <c r="O216" s="5">
        <f>J216-L216</f>
        <v/>
      </c>
      <c r="P216" s="4" t="inlineStr">
        <is>
          <t>Sierra</t>
        </is>
      </c>
    </row>
    <row r="217">
      <c r="A217" s="4" t="inlineStr">
        <is>
          <t>25-PC-40677</t>
        </is>
      </c>
      <c r="B217" s="4" t="inlineStr">
        <is>
          <t>Quail Run Paleontological Monitoring</t>
        </is>
      </c>
      <c r="C217" s="4" t="inlineStr">
        <is>
          <t>Time and material</t>
        </is>
      </c>
      <c r="D217" s="4" t="inlineStr">
        <is>
          <t>Transferred Entity</t>
        </is>
      </c>
      <c r="E217" s="4" t="inlineStr">
        <is>
          <t>Louis Huff</t>
        </is>
      </c>
      <c r="F217" s="5" t="n">
        <v>225000</v>
      </c>
      <c r="G217" s="5" t="n">
        <v>157612.5</v>
      </c>
      <c r="H217" s="5" t="n">
        <v>157612.5</v>
      </c>
      <c r="I217" s="5" t="n">
        <v>0</v>
      </c>
      <c r="J217" s="5" t="n">
        <v>192903.25</v>
      </c>
      <c r="K217" s="6" t="n">
        <v>0.857</v>
      </c>
      <c r="L217" s="5" t="n">
        <v>153698.04</v>
      </c>
      <c r="M217" s="5" t="n">
        <v>3914.459999999992</v>
      </c>
      <c r="N217" s="6">
        <f>IF(G217=0,0,L217/G217)</f>
        <v/>
      </c>
      <c r="O217" s="5">
        <f>J217-L217</f>
        <v/>
      </c>
      <c r="P217" s="4" t="inlineStr">
        <is>
          <t>Sierra South</t>
        </is>
      </c>
    </row>
    <row r="218">
      <c r="A218" s="4" t="inlineStr">
        <is>
          <t>25-PC-40810</t>
        </is>
      </c>
      <c r="B218" s="4" t="inlineStr">
        <is>
          <t>Goldfinch Mine Expansion Archaeological Testing</t>
        </is>
      </c>
      <c r="C218" s="4" t="inlineStr">
        <is>
          <t>Fixed fee</t>
        </is>
      </c>
      <c r="D218" s="4" t="inlineStr">
        <is>
          <t>Transferred Entity</t>
        </is>
      </c>
      <c r="E218" s="4" t="inlineStr">
        <is>
          <t>Duane Ballard</t>
        </is>
      </c>
      <c r="F218" s="5" t="n">
        <v>50100</v>
      </c>
      <c r="G218" s="5" t="n">
        <v>34844.55</v>
      </c>
      <c r="H218" s="5" t="n">
        <v>34844.55</v>
      </c>
      <c r="I218" s="5" t="n">
        <v>0</v>
      </c>
      <c r="J218" s="5" t="n">
        <v>50100</v>
      </c>
      <c r="K218" s="6" t="n">
        <v>1</v>
      </c>
      <c r="L218" s="5" t="n">
        <v>37556.22</v>
      </c>
      <c r="M218" s="5" t="n">
        <v>-2711.669999999998</v>
      </c>
      <c r="N218" s="6">
        <f>IF(G218=0,0,L218/G218)</f>
        <v/>
      </c>
      <c r="O218" s="5">
        <f>J218-L218</f>
        <v/>
      </c>
      <c r="P218" s="4" t="inlineStr">
        <is>
          <t>Coastal Bend</t>
        </is>
      </c>
    </row>
    <row r="219">
      <c r="A219" s="4" t="inlineStr">
        <is>
          <t>25-PC-40847</t>
        </is>
      </c>
      <c r="B219" s="4" t="inlineStr">
        <is>
          <t>Quail Run Harbor Dredging - Built Environment Survey</t>
        </is>
      </c>
      <c r="C219" s="4" t="inlineStr">
        <is>
          <t>Fixed fee</t>
        </is>
      </c>
      <c r="D219" s="4" t="inlineStr">
        <is>
          <t>Final Reporting/Review</t>
        </is>
      </c>
      <c r="E219" s="4" t="inlineStr">
        <is>
          <t>Jared Choi</t>
        </is>
      </c>
      <c r="F219" s="5" t="n">
        <v>46800</v>
      </c>
      <c r="G219" s="5" t="n">
        <v>34243.56</v>
      </c>
      <c r="H219" s="5" t="n">
        <v>34243.56</v>
      </c>
      <c r="I219" s="5" t="n">
        <v>0</v>
      </c>
      <c r="J219" s="5" t="n">
        <v>46800</v>
      </c>
      <c r="K219" s="6" t="n">
        <v>1</v>
      </c>
      <c r="L219" s="5" t="n">
        <v>37494.89</v>
      </c>
      <c r="M219" s="5" t="n">
        <v>-3251.330000000002</v>
      </c>
      <c r="N219" s="6">
        <f>IF(G219=0,0,L219/G219)</f>
        <v/>
      </c>
      <c r="O219" s="5">
        <f>J219-L219</f>
        <v/>
      </c>
      <c r="P219" s="4" t="inlineStr">
        <is>
          <t>Coastal Bend</t>
        </is>
      </c>
    </row>
    <row r="220">
      <c r="A220" s="4" t="inlineStr">
        <is>
          <t>25-PC-41187</t>
        </is>
      </c>
      <c r="B220" s="4" t="inlineStr">
        <is>
          <t>Hackberry Bend Trail GIS Mapping</t>
        </is>
      </c>
      <c r="C220" s="4" t="inlineStr">
        <is>
          <t>Fixed fee</t>
        </is>
      </c>
      <c r="D220" s="4" t="inlineStr">
        <is>
          <t>In Progress</t>
        </is>
      </c>
      <c r="E220" s="4" t="inlineStr">
        <is>
          <t>Diane Daniels</t>
        </is>
      </c>
      <c r="F220" s="5" t="n">
        <v>98900</v>
      </c>
      <c r="G220" s="5" t="n">
        <v>55621.36</v>
      </c>
      <c r="H220" s="5" t="n">
        <v>55621.36</v>
      </c>
      <c r="I220" s="5" t="n">
        <v>0</v>
      </c>
      <c r="J220" s="5" t="n">
        <v>75510.14999999999</v>
      </c>
      <c r="K220" s="6" t="n">
        <v>0.763</v>
      </c>
      <c r="L220" s="5" t="n">
        <v>42469.63</v>
      </c>
      <c r="M220" s="5" t="n">
        <v>13151.73</v>
      </c>
      <c r="N220" s="6">
        <f>IF(G220=0,0,L220/G220)</f>
        <v/>
      </c>
      <c r="O220" s="5">
        <f>J220-L220</f>
        <v/>
      </c>
      <c r="P220" s="4" t="inlineStr">
        <is>
          <t>Coastal Bend</t>
        </is>
      </c>
    </row>
    <row r="221">
      <c r="A221" s="4" t="inlineStr">
        <is>
          <t>25-PC-41265</t>
        </is>
      </c>
      <c r="B221" s="4" t="inlineStr">
        <is>
          <t>Larkspur Class III Survey</t>
        </is>
      </c>
      <c r="C221" s="4" t="inlineStr">
        <is>
          <t>Fixed fee</t>
        </is>
      </c>
      <c r="D221" s="4" t="inlineStr">
        <is>
          <t>Cost Tracking on Closed Project</t>
        </is>
      </c>
      <c r="E221" s="4" t="inlineStr">
        <is>
          <t>Diane Daniels</t>
        </is>
      </c>
      <c r="F221" s="5" t="n">
        <v>89800</v>
      </c>
      <c r="G221" s="5" t="n">
        <v>71911.84</v>
      </c>
      <c r="H221" s="5" t="n">
        <v>71911.84</v>
      </c>
      <c r="I221" s="5" t="n">
        <v>0</v>
      </c>
      <c r="J221" s="5" t="n">
        <v>85318.98</v>
      </c>
      <c r="K221" s="6" t="n">
        <v>0.95</v>
      </c>
      <c r="L221" s="5" t="n">
        <v>68323.14</v>
      </c>
      <c r="M221" s="5" t="n">
        <v>3588.699999999997</v>
      </c>
      <c r="N221" s="6">
        <f>IF(G221=0,0,L221/G221)</f>
        <v/>
      </c>
      <c r="O221" s="5">
        <f>J221-L221</f>
        <v/>
      </c>
      <c r="P221" s="4" t="inlineStr">
        <is>
          <t>Coastal Bend</t>
        </is>
      </c>
    </row>
    <row r="222">
      <c r="A222" s="4" t="inlineStr">
        <is>
          <t>25-PC-41341</t>
        </is>
      </c>
      <c r="B222" s="4" t="inlineStr">
        <is>
          <t>Phase II: Coyote Springs Highway Widening Curation</t>
        </is>
      </c>
      <c r="C222" s="4" t="inlineStr">
        <is>
          <t>Fixed fee</t>
        </is>
      </c>
      <c r="D222" s="4" t="inlineStr">
        <is>
          <t>In Progress</t>
        </is>
      </c>
      <c r="E222" s="4" t="inlineStr">
        <is>
          <t>Diane Daniels</t>
        </is>
      </c>
      <c r="F222" s="5" t="n">
        <v>167900</v>
      </c>
      <c r="G222" s="5" t="n">
        <v>131616.81</v>
      </c>
      <c r="H222" s="5" t="n">
        <v>131616.81</v>
      </c>
      <c r="I222" s="5" t="n">
        <v>0</v>
      </c>
      <c r="J222" s="5" t="n">
        <v>133782.72</v>
      </c>
      <c r="K222" s="6" t="n">
        <v>0.797</v>
      </c>
      <c r="L222" s="5" t="n">
        <v>104866.5</v>
      </c>
      <c r="M222" s="5" t="n">
        <v>26750.31</v>
      </c>
      <c r="N222" s="6">
        <f>IF(G222=0,0,L222/G222)</f>
        <v/>
      </c>
      <c r="O222" s="5">
        <f>J222-L222</f>
        <v/>
      </c>
      <c r="P222" s="4" t="inlineStr">
        <is>
          <t>Coastal Bend</t>
        </is>
      </c>
    </row>
    <row r="223">
      <c r="A223" s="4" t="inlineStr">
        <is>
          <t>25-PC-41385</t>
        </is>
      </c>
      <c r="B223" s="4" t="inlineStr">
        <is>
          <t>Tamarack Levee Repair - Historic Resources Evaluation</t>
        </is>
      </c>
      <c r="C223" s="4" t="inlineStr">
        <is>
          <t>Fixed fee</t>
        </is>
      </c>
      <c r="D223" s="4" t="inlineStr">
        <is>
          <t>In Progress</t>
        </is>
      </c>
      <c r="E223" s="4" t="inlineStr">
        <is>
          <t>Diane Daniels</t>
        </is>
      </c>
      <c r="F223" s="5" t="n">
        <v>179800</v>
      </c>
      <c r="G223" s="5" t="n">
        <v>119171.44</v>
      </c>
      <c r="H223" s="5" t="n">
        <v>119171.44</v>
      </c>
      <c r="I223" s="5" t="n">
        <v>0</v>
      </c>
      <c r="J223" s="5" t="n">
        <v>179800</v>
      </c>
      <c r="K223" s="6" t="n">
        <v>1</v>
      </c>
      <c r="L223" s="5" t="n">
        <v>171055.95</v>
      </c>
      <c r="M223" s="5" t="n">
        <v>-51884.51000000001</v>
      </c>
      <c r="N223" s="6">
        <f>IF(G223=0,0,L223/G223)</f>
        <v/>
      </c>
      <c r="O223" s="5">
        <f>J223-L223</f>
        <v/>
      </c>
      <c r="P223" s="4" t="inlineStr">
        <is>
          <t>Coastal Bend</t>
        </is>
      </c>
    </row>
    <row r="224">
      <c r="A224" s="4" t="inlineStr">
        <is>
          <t>25-PC-41500</t>
        </is>
      </c>
      <c r="B224" s="4" t="inlineStr">
        <is>
          <t>Task Order 24: Elk Meadow Mixed-Use Development Historic Resources Evaluation</t>
        </is>
      </c>
      <c r="C224" s="4" t="inlineStr">
        <is>
          <t>Time and material</t>
        </is>
      </c>
      <c r="D224" s="4" t="inlineStr">
        <is>
          <t>In Progress</t>
        </is>
      </c>
      <c r="E224" s="4" t="inlineStr">
        <is>
          <t>Jared Choi</t>
        </is>
      </c>
      <c r="F224" s="5" t="n">
        <v>130200</v>
      </c>
      <c r="G224" s="5" t="n">
        <v>94156.73</v>
      </c>
      <c r="H224" s="5" t="n">
        <v>81265.42</v>
      </c>
      <c r="I224" s="5" t="n">
        <v>12891.31</v>
      </c>
      <c r="J224" s="5" t="n">
        <v>121022.45</v>
      </c>
      <c r="K224" s="6" t="n">
        <v>0.93</v>
      </c>
      <c r="L224" s="5" t="n">
        <v>105548.13</v>
      </c>
      <c r="M224" s="5" t="n">
        <v>-11391.40000000001</v>
      </c>
      <c r="N224" s="6">
        <f>IF(G224=0,0,L224/G224)</f>
        <v/>
      </c>
      <c r="O224" s="5">
        <f>J224-L224</f>
        <v/>
      </c>
      <c r="P224" s="4" t="inlineStr">
        <is>
          <t>Coastal Bend</t>
        </is>
      </c>
    </row>
    <row r="225">
      <c r="A225" s="4" t="inlineStr">
        <is>
          <t>25-PC-41635</t>
        </is>
      </c>
      <c r="B225" s="4" t="inlineStr">
        <is>
          <t>Plover Cove Rail Siding GIS Mapping</t>
        </is>
      </c>
      <c r="C225" s="4" t="inlineStr">
        <is>
          <t>Time and material</t>
        </is>
      </c>
      <c r="D225" s="4" t="inlineStr">
        <is>
          <t>In Progress</t>
        </is>
      </c>
      <c r="E225" s="4" t="inlineStr">
        <is>
          <t>Jared Choi</t>
        </is>
      </c>
      <c r="F225" s="5" t="n">
        <v>412300</v>
      </c>
      <c r="G225" s="5" t="n">
        <v>281889.51</v>
      </c>
      <c r="H225" s="5" t="n">
        <v>281889.51</v>
      </c>
      <c r="I225" s="5" t="n">
        <v>0</v>
      </c>
      <c r="J225" s="5" t="n">
        <v>300806.95</v>
      </c>
      <c r="K225" s="6" t="n">
        <v>0.73</v>
      </c>
      <c r="L225" s="5" t="n">
        <v>224531.7</v>
      </c>
      <c r="M225" s="5" t="n">
        <v>57357.81</v>
      </c>
      <c r="N225" s="6">
        <f>IF(G225=0,0,L225/G225)</f>
        <v/>
      </c>
      <c r="O225" s="5">
        <f>J225-L225</f>
        <v/>
      </c>
      <c r="P225" s="4" t="inlineStr">
        <is>
          <t>Coastal Bend</t>
        </is>
      </c>
    </row>
    <row r="226">
      <c r="A226" s="4" t="inlineStr">
        <is>
          <t>25-PC-41722</t>
        </is>
      </c>
      <c r="B226" s="4" t="inlineStr">
        <is>
          <t>Willow Springs Canal Lining Built Environment Survey</t>
        </is>
      </c>
      <c r="C226" s="4" t="inlineStr">
        <is>
          <t>Time and material</t>
        </is>
      </c>
      <c r="D226" s="4" t="inlineStr">
        <is>
          <t>In Progress</t>
        </is>
      </c>
      <c r="E226" s="4" t="inlineStr">
        <is>
          <t>Jenny Wilkinson</t>
        </is>
      </c>
      <c r="F226" s="5" t="n">
        <v>152100</v>
      </c>
      <c r="G226" s="5" t="n">
        <v>108599.4</v>
      </c>
      <c r="H226" s="5" t="n">
        <v>108599.4</v>
      </c>
      <c r="I226" s="5" t="n">
        <v>0</v>
      </c>
      <c r="J226" s="5" t="n">
        <v>112187.4</v>
      </c>
      <c r="K226" s="6" t="n">
        <v>0.738</v>
      </c>
      <c r="L226" s="5" t="n">
        <v>90984.66</v>
      </c>
      <c r="M226" s="5" t="n">
        <v>17614.73999999999</v>
      </c>
      <c r="N226" s="6">
        <f>IF(G226=0,0,L226/G226)</f>
        <v/>
      </c>
      <c r="O226" s="5">
        <f>J226-L226</f>
        <v/>
      </c>
      <c r="P226" s="4" t="inlineStr">
        <is>
          <t>Built Environment</t>
        </is>
      </c>
    </row>
    <row r="227">
      <c r="A227" s="4" t="inlineStr">
        <is>
          <t>25-PC-41854</t>
        </is>
      </c>
      <c r="B227" s="4" t="inlineStr">
        <is>
          <t>Hackberry Bend Rail Siding - Section 106 Consultation</t>
        </is>
      </c>
      <c r="C227" s="4" t="inlineStr">
        <is>
          <t>Time and material</t>
        </is>
      </c>
      <c r="D227" s="4" t="inlineStr">
        <is>
          <t>In Progress</t>
        </is>
      </c>
      <c r="E227" s="4" t="inlineStr">
        <is>
          <t>Rickey Salas</t>
        </is>
      </c>
      <c r="F227" s="5" t="n">
        <v>39700</v>
      </c>
      <c r="G227" s="5" t="n">
        <v>25920.13</v>
      </c>
      <c r="H227" s="5" t="n">
        <v>25920.13</v>
      </c>
      <c r="I227" s="5" t="n">
        <v>0</v>
      </c>
      <c r="J227" s="5" t="n">
        <v>39700</v>
      </c>
      <c r="K227" s="6" t="n">
        <v>1</v>
      </c>
      <c r="L227" s="5" t="n">
        <v>29882.88</v>
      </c>
      <c r="M227" s="5" t="n">
        <v>-3962.75</v>
      </c>
      <c r="N227" s="6">
        <f>IF(G227=0,0,L227/G227)</f>
        <v/>
      </c>
      <c r="O227" s="5">
        <f>J227-L227</f>
        <v/>
      </c>
      <c r="P227" s="4" t="inlineStr">
        <is>
          <t>Built Environment</t>
        </is>
      </c>
    </row>
    <row r="228">
      <c r="A228" s="4" t="inlineStr">
        <is>
          <t>25-PC-42227</t>
        </is>
      </c>
      <c r="B228" s="4" t="inlineStr">
        <is>
          <t>Task Order 22: Lantern Bay School Campus Data Recovery</t>
        </is>
      </c>
      <c r="C228" s="4" t="inlineStr">
        <is>
          <t>Time and material</t>
        </is>
      </c>
      <c r="D228" s="4" t="inlineStr">
        <is>
          <t>Cost Tracking on Closed Project</t>
        </is>
      </c>
      <c r="E228" s="4" t="inlineStr">
        <is>
          <t>Kathleen Cabrera</t>
        </is>
      </c>
      <c r="F228" s="5" t="n">
        <v>17900</v>
      </c>
      <c r="G228" s="5" t="n">
        <v>12066.39</v>
      </c>
      <c r="H228" s="5" t="n">
        <v>12066.39</v>
      </c>
      <c r="I228" s="5" t="n">
        <v>0</v>
      </c>
      <c r="J228" s="5" t="n">
        <v>161.1</v>
      </c>
      <c r="K228" s="6" t="n">
        <v>0.008999999999999999</v>
      </c>
      <c r="L228" s="5" t="n">
        <v>14332.43</v>
      </c>
      <c r="M228" s="5" t="n">
        <v>-2266.040000000001</v>
      </c>
      <c r="N228" s="6">
        <f>IF(G228=0,0,L228/G228)</f>
        <v/>
      </c>
      <c r="O228" s="5">
        <f>J228-L228</f>
        <v/>
      </c>
      <c r="P228" s="4" t="inlineStr">
        <is>
          <t>Built Environment</t>
        </is>
      </c>
    </row>
    <row r="229">
      <c r="A229" s="4" t="inlineStr">
        <is>
          <t>25-PC-42315</t>
        </is>
      </c>
      <c r="B229" s="4" t="inlineStr">
        <is>
          <t>Sage Flat Bridge Replacement Class III Survey</t>
        </is>
      </c>
      <c r="C229" s="4" t="inlineStr">
        <is>
          <t>Fixed fee</t>
        </is>
      </c>
      <c r="D229" s="4" t="inlineStr">
        <is>
          <t>In Progress</t>
        </is>
      </c>
      <c r="E229" s="4" t="inlineStr">
        <is>
          <t>Charlene Sparks</t>
        </is>
      </c>
      <c r="F229" s="5" t="n">
        <v>41200</v>
      </c>
      <c r="G229" s="5" t="n">
        <v>29239.64</v>
      </c>
      <c r="H229" s="5" t="n">
        <v>29239.64</v>
      </c>
      <c r="I229" s="5" t="n">
        <v>0</v>
      </c>
      <c r="J229" s="5" t="n">
        <v>32304.92</v>
      </c>
      <c r="K229" s="6" t="n">
        <v>0.784</v>
      </c>
      <c r="L229" s="5" t="n">
        <v>22925.4</v>
      </c>
      <c r="M229" s="5" t="n">
        <v>6314.239999999998</v>
      </c>
      <c r="N229" s="6">
        <f>IF(G229=0,0,L229/G229)</f>
        <v/>
      </c>
      <c r="O229" s="5">
        <f>J229-L229</f>
        <v/>
      </c>
      <c r="P229" s="4" t="inlineStr">
        <is>
          <t>Paleontology</t>
        </is>
      </c>
    </row>
    <row r="230">
      <c r="A230" s="4" t="inlineStr">
        <is>
          <t>25-PC-42717</t>
        </is>
      </c>
      <c r="B230" s="4" t="inlineStr">
        <is>
          <t>Task Order 24: Sea Oat Cell Tower Data Recovery</t>
        </is>
      </c>
      <c r="C230" s="4" t="inlineStr">
        <is>
          <t>Time and material</t>
        </is>
      </c>
      <c r="D230" s="4" t="inlineStr">
        <is>
          <t>In Progress</t>
        </is>
      </c>
      <c r="E230" s="4" t="inlineStr">
        <is>
          <t>Kyle Maynard</t>
        </is>
      </c>
      <c r="F230" s="5" t="n">
        <v>130300</v>
      </c>
      <c r="G230" s="5" t="n">
        <v>95796.56</v>
      </c>
      <c r="H230" s="5" t="n">
        <v>95796.56</v>
      </c>
      <c r="I230" s="5" t="n">
        <v>0</v>
      </c>
      <c r="J230" s="5" t="n">
        <v>128601.35</v>
      </c>
      <c r="K230" s="6" t="n">
        <v>0.987</v>
      </c>
      <c r="L230" s="5" t="n">
        <v>79985.69</v>
      </c>
      <c r="M230" s="5" t="n">
        <v>15810.87</v>
      </c>
      <c r="N230" s="6">
        <f>IF(G230=0,0,L230/G230)</f>
        <v/>
      </c>
      <c r="O230" s="5">
        <f>J230-L230</f>
        <v/>
      </c>
      <c r="P230" s="4" t="inlineStr">
        <is>
          <t>Maritime</t>
        </is>
      </c>
    </row>
    <row r="231">
      <c r="A231" s="4" t="inlineStr">
        <is>
          <t>25-PC-43073</t>
        </is>
      </c>
      <c r="B231" s="4" t="inlineStr">
        <is>
          <t>Elk Meadow Highway Widening Phase I Survey</t>
        </is>
      </c>
      <c r="C231" s="4" t="inlineStr">
        <is>
          <t>Time and material</t>
        </is>
      </c>
      <c r="D231" s="4" t="inlineStr">
        <is>
          <t>Transferred Entity</t>
        </is>
      </c>
      <c r="E231" s="4" t="inlineStr">
        <is>
          <t>Sylvia Callahan</t>
        </is>
      </c>
      <c r="F231" s="5" t="n">
        <v>62000</v>
      </c>
      <c r="G231" s="5" t="n">
        <v>44404.4</v>
      </c>
      <c r="H231" s="5" t="n">
        <v>44404.4</v>
      </c>
      <c r="I231" s="5" t="n">
        <v>0</v>
      </c>
      <c r="J231" s="5" t="n">
        <v>54684.75</v>
      </c>
      <c r="K231" s="6" t="n">
        <v>0.882</v>
      </c>
      <c r="L231" s="5" t="n">
        <v>44584.79</v>
      </c>
      <c r="M231" s="5" t="n">
        <v>-180.3899999999994</v>
      </c>
      <c r="N231" s="6">
        <f>IF(G231=0,0,L231/G231)</f>
        <v/>
      </c>
      <c r="O231" s="5">
        <f>J231-L231</f>
        <v/>
      </c>
      <c r="P231" s="4" t="inlineStr">
        <is>
          <t>Geospatial</t>
        </is>
      </c>
    </row>
    <row r="232">
      <c r="A232" s="4" t="inlineStr">
        <is>
          <t>25-PC-43203</t>
        </is>
      </c>
      <c r="B232" s="4" t="inlineStr">
        <is>
          <t>Bramble Creek Mine Expansion Archaeological Testing</t>
        </is>
      </c>
      <c r="C232" s="4" t="inlineStr">
        <is>
          <t>Fixed fee</t>
        </is>
      </c>
      <c r="D232" s="4" t="inlineStr">
        <is>
          <t>In Progress</t>
        </is>
      </c>
      <c r="E232" s="4" t="inlineStr">
        <is>
          <t>Seth Zavala</t>
        </is>
      </c>
      <c r="F232" s="5" t="n">
        <v>128400</v>
      </c>
      <c r="G232" s="5" t="n">
        <v>106315.2</v>
      </c>
      <c r="H232" s="5" t="n">
        <v>106315.2</v>
      </c>
      <c r="I232" s="5" t="n">
        <v>0</v>
      </c>
      <c r="J232" s="5" t="n">
        <v>128400</v>
      </c>
      <c r="K232" s="6" t="n">
        <v>1</v>
      </c>
      <c r="L232" s="5" t="n">
        <v>195734.3</v>
      </c>
      <c r="M232" s="5" t="n">
        <v>-89419.09999999999</v>
      </c>
      <c r="N232" s="6">
        <f>IF(G232=0,0,L232/G232)</f>
        <v/>
      </c>
      <c r="O232" s="5">
        <f>J232-L232</f>
        <v/>
      </c>
      <c r="P232" s="4" t="inlineStr">
        <is>
          <t>Meridian Central</t>
        </is>
      </c>
    </row>
    <row r="233">
      <c r="A233" s="4" t="inlineStr">
        <is>
          <t>25-PC-43286</t>
        </is>
      </c>
      <c r="B233" s="4" t="inlineStr">
        <is>
          <t>Riverbend Highway Widening - Phase II Testing</t>
        </is>
      </c>
      <c r="C233" s="4" t="inlineStr">
        <is>
          <t>Time and material</t>
        </is>
      </c>
      <c r="D233" s="4" t="inlineStr">
        <is>
          <t>In Progress</t>
        </is>
      </c>
      <c r="E233" s="4" t="inlineStr">
        <is>
          <t>Seth Zavala</t>
        </is>
      </c>
      <c r="F233" s="5" t="n">
        <v>15700</v>
      </c>
      <c r="G233" s="5" t="n">
        <v>10903.65</v>
      </c>
      <c r="H233" s="5" t="n">
        <v>10903.65</v>
      </c>
      <c r="I233" s="5" t="n">
        <v>0</v>
      </c>
      <c r="J233" s="5" t="n">
        <v>15700</v>
      </c>
      <c r="K233" s="6" t="n">
        <v>1</v>
      </c>
      <c r="L233" s="5" t="n">
        <v>71168.37</v>
      </c>
      <c r="M233" s="5" t="n">
        <v>-60264.71999999999</v>
      </c>
      <c r="N233" s="6">
        <f>IF(G233=0,0,L233/G233)</f>
        <v/>
      </c>
      <c r="O233" s="5">
        <f>J233-L233</f>
        <v/>
      </c>
      <c r="P233" s="4" t="inlineStr">
        <is>
          <t>Meridian Central</t>
        </is>
      </c>
    </row>
    <row r="234">
      <c r="A234" s="4" t="inlineStr">
        <is>
          <t>25-PC-43315</t>
        </is>
      </c>
      <c r="B234" s="4" t="inlineStr">
        <is>
          <t>Phase III: Hackberry Bend Bridge Replacement Architectural History Survey</t>
        </is>
      </c>
      <c r="C234" s="4" t="inlineStr">
        <is>
          <t>Fixed fee</t>
        </is>
      </c>
      <c r="D234" s="4" t="inlineStr">
        <is>
          <t>Cost Tracking on Closed Project</t>
        </is>
      </c>
      <c r="E234" s="4" t="inlineStr">
        <is>
          <t>Clinton Solis</t>
        </is>
      </c>
      <c r="F234" s="5" t="n">
        <v>715500</v>
      </c>
      <c r="G234" s="5" t="n">
        <v>625275.45</v>
      </c>
      <c r="H234" s="5" t="n">
        <v>625275.45</v>
      </c>
      <c r="I234" s="5" t="n">
        <v>0</v>
      </c>
      <c r="J234" s="5" t="n">
        <v>650818.8</v>
      </c>
      <c r="K234" s="6" t="n">
        <v>0.91</v>
      </c>
      <c r="L234" s="5" t="n">
        <v>568777.84</v>
      </c>
      <c r="M234" s="5" t="n">
        <v>56497.60999999999</v>
      </c>
      <c r="N234" s="6">
        <f>IF(G234=0,0,L234/G234)</f>
        <v/>
      </c>
      <c r="O234" s="5">
        <f>J234-L234</f>
        <v/>
      </c>
      <c r="P234" s="4" t="inlineStr">
        <is>
          <t>Meridian Central</t>
        </is>
      </c>
    </row>
    <row r="235">
      <c r="A235" s="4" t="inlineStr">
        <is>
          <t>25-PC-43434</t>
        </is>
      </c>
      <c r="B235" s="4" t="inlineStr">
        <is>
          <t>Riverbend Airport Apron - Class III Survey</t>
        </is>
      </c>
      <c r="C235" s="4" t="inlineStr">
        <is>
          <t>Fixed fee</t>
        </is>
      </c>
      <c r="D235" s="4" t="inlineStr">
        <is>
          <t>Cost Tracking on Closed Project</t>
        </is>
      </c>
      <c r="E235" s="4" t="inlineStr">
        <is>
          <t>Seth Zavala</t>
        </is>
      </c>
      <c r="F235" s="5" t="n">
        <v>551800</v>
      </c>
      <c r="G235" s="5" t="n">
        <v>378424.44</v>
      </c>
      <c r="H235" s="5" t="n">
        <v>378424.44</v>
      </c>
      <c r="I235" s="5" t="n">
        <v>0</v>
      </c>
      <c r="J235" s="5" t="n">
        <v>551800</v>
      </c>
      <c r="K235" s="6" t="n">
        <v>1</v>
      </c>
      <c r="L235" s="5" t="n">
        <v>405626.36</v>
      </c>
      <c r="M235" s="5" t="n">
        <v>-27201.91999999998</v>
      </c>
      <c r="N235" s="6">
        <f>IF(G235=0,0,L235/G235)</f>
        <v/>
      </c>
      <c r="O235" s="5">
        <f>J235-L235</f>
        <v/>
      </c>
      <c r="P235" s="4" t="inlineStr">
        <is>
          <t>Meridian Central</t>
        </is>
      </c>
    </row>
    <row r="236">
      <c r="A236" s="4" t="inlineStr">
        <is>
          <t>25-PC-43566</t>
        </is>
      </c>
      <c r="B236" s="4" t="inlineStr">
        <is>
          <t>Copper Flats Solar - Phase II Testing</t>
        </is>
      </c>
      <c r="C236" s="4" t="inlineStr">
        <is>
          <t>Fixed fee</t>
        </is>
      </c>
      <c r="D236" s="4" t="inlineStr">
        <is>
          <t>In Progress</t>
        </is>
      </c>
      <c r="E236" s="4" t="inlineStr">
        <is>
          <t>Mathew Shea</t>
        </is>
      </c>
      <c r="F236" s="5" t="n">
        <v>114200</v>
      </c>
      <c r="G236" s="5" t="n">
        <v>73887.39999999999</v>
      </c>
      <c r="H236" s="5" t="n">
        <v>73887.39999999999</v>
      </c>
      <c r="I236" s="5" t="n">
        <v>0</v>
      </c>
      <c r="J236" s="5" t="n">
        <v>114200</v>
      </c>
      <c r="K236" s="6" t="n">
        <v>1</v>
      </c>
      <c r="L236" s="5" t="n">
        <v>131458.02</v>
      </c>
      <c r="M236" s="5" t="n">
        <v>-57570.62</v>
      </c>
      <c r="N236" s="6">
        <f>IF(G236=0,0,L236/G236)</f>
        <v/>
      </c>
      <c r="O236" s="5">
        <f>J236-L236</f>
        <v/>
      </c>
      <c r="P236" s="4" t="inlineStr">
        <is>
          <t>Meridian Central</t>
        </is>
      </c>
    </row>
    <row r="237">
      <c r="A237" s="4" t="inlineStr">
        <is>
          <t>25-PC-43621</t>
        </is>
      </c>
      <c r="B237" s="4" t="inlineStr">
        <is>
          <t>Task Order 8: Pine Hollow Highway Widening Historic Resources Evaluation</t>
        </is>
      </c>
      <c r="C237" s="4" t="inlineStr">
        <is>
          <t>Fixed fee</t>
        </is>
      </c>
      <c r="D237" s="4" t="inlineStr">
        <is>
          <t>In Progress</t>
        </is>
      </c>
      <c r="E237" s="4" t="inlineStr">
        <is>
          <t>Alan Gay</t>
        </is>
      </c>
      <c r="F237" s="5" t="n">
        <v>52800</v>
      </c>
      <c r="G237" s="5" t="n">
        <v>37979.04</v>
      </c>
      <c r="H237" s="5" t="n">
        <v>37979.04</v>
      </c>
      <c r="I237" s="5" t="n">
        <v>0</v>
      </c>
      <c r="J237" s="5" t="n">
        <v>52800</v>
      </c>
      <c r="K237" s="6" t="n">
        <v>1</v>
      </c>
      <c r="L237" s="5" t="n">
        <v>37986.88</v>
      </c>
      <c r="M237" s="5" t="n">
        <v>-7.839999999996508</v>
      </c>
      <c r="N237" s="6">
        <f>IF(G237=0,0,L237/G237)</f>
        <v/>
      </c>
      <c r="O237" s="5">
        <f>J237-L237</f>
        <v/>
      </c>
      <c r="P237" s="4" t="inlineStr">
        <is>
          <t>Meridian Southwest</t>
        </is>
      </c>
    </row>
    <row r="238">
      <c r="A238" s="4" t="inlineStr">
        <is>
          <t>25-PC-43639</t>
        </is>
      </c>
      <c r="B238" s="4" t="inlineStr">
        <is>
          <t>Windmill Flat Battery Storage Curation</t>
        </is>
      </c>
      <c r="C238" s="4" t="inlineStr">
        <is>
          <t>Fixed fee</t>
        </is>
      </c>
      <c r="D238" s="4" t="inlineStr">
        <is>
          <t>Final Reporting/Review</t>
        </is>
      </c>
      <c r="E238" s="4" t="inlineStr">
        <is>
          <t>Harold Chaney</t>
        </is>
      </c>
      <c r="F238" s="5" t="n">
        <v>137000</v>
      </c>
      <c r="G238" s="5" t="n">
        <v>91502.3</v>
      </c>
      <c r="H238" s="5" t="n">
        <v>91502.3</v>
      </c>
      <c r="I238" s="5" t="n">
        <v>0</v>
      </c>
      <c r="J238" s="5" t="n">
        <v>137000</v>
      </c>
      <c r="K238" s="6" t="n">
        <v>1</v>
      </c>
      <c r="L238" s="5" t="n">
        <v>100918.9</v>
      </c>
      <c r="M238" s="5" t="n">
        <v>-9416.599999999991</v>
      </c>
      <c r="N238" s="6">
        <f>IF(G238=0,0,L238/G238)</f>
        <v/>
      </c>
      <c r="O238" s="5">
        <f>J238-L238</f>
        <v/>
      </c>
      <c r="P238" s="4" t="inlineStr">
        <is>
          <t>Meridian Southwest</t>
        </is>
      </c>
    </row>
    <row r="239">
      <c r="A239" s="4" t="inlineStr">
        <is>
          <t>25-PC-43653</t>
        </is>
      </c>
      <c r="B239" s="4" t="inlineStr">
        <is>
          <t>Ember Valley Housing Development Paleontological Monitoring</t>
        </is>
      </c>
      <c r="C239" s="4" t="inlineStr">
        <is>
          <t>Fixed fee</t>
        </is>
      </c>
      <c r="D239" s="4" t="inlineStr">
        <is>
          <t>Lab/Curation</t>
        </is>
      </c>
      <c r="E239" s="4" t="inlineStr">
        <is>
          <t>Reginald Kerr</t>
        </is>
      </c>
      <c r="F239" s="5" t="n">
        <v>92800</v>
      </c>
      <c r="G239" s="5" t="n">
        <v>78211.84</v>
      </c>
      <c r="H239" s="5" t="n">
        <v>78211.84</v>
      </c>
      <c r="I239" s="5" t="n">
        <v>0</v>
      </c>
      <c r="J239" s="5" t="n">
        <v>92800</v>
      </c>
      <c r="K239" s="6" t="n">
        <v>1</v>
      </c>
      <c r="L239" s="5" t="n">
        <v>103245.03</v>
      </c>
      <c r="M239" s="5" t="n">
        <v>-25033.19</v>
      </c>
      <c r="N239" s="6">
        <f>IF(G239=0,0,L239/G239)</f>
        <v/>
      </c>
      <c r="O239" s="5">
        <f>J239-L239</f>
        <v/>
      </c>
      <c r="P239" s="4" t="inlineStr">
        <is>
          <t>Meridian Southwest</t>
        </is>
      </c>
    </row>
    <row r="240">
      <c r="A240" s="4" t="inlineStr">
        <is>
          <t>25-PC-43993</t>
        </is>
      </c>
      <c r="B240" s="4" t="inlineStr">
        <is>
          <t>Timber Gap GIS Mapping</t>
        </is>
      </c>
      <c r="C240" s="4" t="inlineStr">
        <is>
          <t>Fixed fee</t>
        </is>
      </c>
      <c r="D240" s="4" t="inlineStr">
        <is>
          <t>Transferred Entity</t>
        </is>
      </c>
      <c r="E240" s="4" t="inlineStr">
        <is>
          <t>Javier Rangel</t>
        </is>
      </c>
      <c r="F240" s="5" t="n">
        <v>27900</v>
      </c>
      <c r="G240" s="5" t="n">
        <v>19669.5</v>
      </c>
      <c r="H240" s="5" t="n">
        <v>19669.5</v>
      </c>
      <c r="I240" s="5" t="n">
        <v>0</v>
      </c>
      <c r="J240" s="5" t="n">
        <v>20428.37866666667</v>
      </c>
      <c r="K240" s="6" t="n">
        <v>0.7321999522102748</v>
      </c>
      <c r="L240" s="5" t="n">
        <v>14401.75</v>
      </c>
      <c r="M240" s="5" t="n">
        <v>5267.75</v>
      </c>
      <c r="N240" s="6">
        <f>IF(G240=0,0,L240/G240)</f>
        <v/>
      </c>
      <c r="O240" s="5">
        <f>J240-L240</f>
        <v/>
      </c>
      <c r="P240" s="4" t="inlineStr">
        <is>
          <t>NH Gulf (USD)</t>
        </is>
      </c>
    </row>
    <row r="241">
      <c r="A241" s="4" t="inlineStr">
        <is>
          <t>25-PC-44046</t>
        </is>
      </c>
      <c r="B241" s="4" t="inlineStr">
        <is>
          <t>Kestrel Butte Section 106 Consultation</t>
        </is>
      </c>
      <c r="C241" s="4" t="inlineStr">
        <is>
          <t>Fixed fee</t>
        </is>
      </c>
      <c r="D241" s="4" t="inlineStr">
        <is>
          <t>Transferred Entity</t>
        </is>
      </c>
      <c r="E241" s="4" t="inlineStr">
        <is>
          <t>Randy Cantu</t>
        </is>
      </c>
      <c r="F241" s="5" t="n">
        <v>320300</v>
      </c>
      <c r="G241" s="5" t="n">
        <v>220526.55</v>
      </c>
      <c r="H241" s="5" t="n">
        <v>220526.55</v>
      </c>
      <c r="I241" s="5" t="n">
        <v>0</v>
      </c>
      <c r="J241" s="5" t="n">
        <v>320300</v>
      </c>
      <c r="K241" s="6" t="n">
        <v>1</v>
      </c>
      <c r="L241" s="5" t="n">
        <v>276639.9</v>
      </c>
      <c r="M241" s="5" t="n">
        <v>-56113.35000000003</v>
      </c>
      <c r="N241" s="6">
        <f>IF(G241=0,0,L241/G241)</f>
        <v/>
      </c>
      <c r="O241" s="5">
        <f>J241-L241</f>
        <v/>
      </c>
      <c r="P241" s="4" t="inlineStr">
        <is>
          <t>NH Gulf (USD)</t>
        </is>
      </c>
    </row>
    <row r="242">
      <c r="A242" s="4" t="inlineStr">
        <is>
          <t>25-PC-44198</t>
        </is>
      </c>
      <c r="B242" s="4" t="inlineStr">
        <is>
          <t>Task Order 2: Redbud Highway Widening GIS Mapping</t>
        </is>
      </c>
      <c r="C242" s="4" t="inlineStr">
        <is>
          <t>Time and material</t>
        </is>
      </c>
      <c r="D242" s="4" t="inlineStr">
        <is>
          <t>Transferred Entity</t>
        </is>
      </c>
      <c r="E242" s="4" t="inlineStr">
        <is>
          <t>Susan Wilkins</t>
        </is>
      </c>
      <c r="F242" s="5" t="n">
        <v>31100</v>
      </c>
      <c r="G242" s="5" t="n">
        <v>17934.14</v>
      </c>
      <c r="H242" s="5" t="n">
        <v>13115.76</v>
      </c>
      <c r="I242" s="5" t="n">
        <v>4818.38</v>
      </c>
      <c r="J242" s="5" t="n">
        <v>31100</v>
      </c>
      <c r="K242" s="6" t="n">
        <v>1</v>
      </c>
      <c r="L242" s="5" t="n">
        <v>31276.11733333334</v>
      </c>
      <c r="M242" s="5" t="n">
        <v>-13341.97733333334</v>
      </c>
      <c r="N242" s="6">
        <f>IF(G242=0,0,L242/G242)</f>
        <v/>
      </c>
      <c r="O242" s="5">
        <f>J242-L242</f>
        <v/>
      </c>
      <c r="P242" s="4" t="inlineStr">
        <is>
          <t>NH Gulf (USD)</t>
        </is>
      </c>
    </row>
    <row r="243">
      <c r="A243" s="4" t="inlineStr">
        <is>
          <t>25-PC-44312</t>
        </is>
      </c>
      <c r="B243" s="4" t="inlineStr">
        <is>
          <t>Task Order 19: Millbrook Bridge Replacement Class III Survey</t>
        </is>
      </c>
      <c r="C243" s="4" t="inlineStr">
        <is>
          <t>Fixed fee</t>
        </is>
      </c>
      <c r="D243" s="4" t="inlineStr">
        <is>
          <t>In Progress</t>
        </is>
      </c>
      <c r="E243" s="4" t="inlineStr">
        <is>
          <t>Randy Cantu</t>
        </is>
      </c>
      <c r="F243" s="5" t="n">
        <v>97000</v>
      </c>
      <c r="G243" s="5" t="n">
        <v>71004</v>
      </c>
      <c r="H243" s="5" t="n">
        <v>71004</v>
      </c>
      <c r="I243" s="5" t="n">
        <v>0</v>
      </c>
      <c r="J243" s="5" t="n">
        <v>97000</v>
      </c>
      <c r="K243" s="6" t="n">
        <v>1</v>
      </c>
      <c r="L243" s="5" t="n">
        <v>79042.17</v>
      </c>
      <c r="M243" s="5" t="n">
        <v>-8038.169999999998</v>
      </c>
      <c r="N243" s="6">
        <f>IF(G243=0,0,L243/G243)</f>
        <v/>
      </c>
      <c r="O243" s="5">
        <f>J243-L243</f>
        <v/>
      </c>
      <c r="P243" s="4" t="inlineStr">
        <is>
          <t>NH Gulf (USD)</t>
        </is>
      </c>
    </row>
    <row r="244">
      <c r="A244" s="4" t="inlineStr">
        <is>
          <t>26-PC-30432</t>
        </is>
      </c>
      <c r="B244" s="4" t="inlineStr">
        <is>
          <t>On-Call: Foxglove Substation Cultural Resources Assessment</t>
        </is>
      </c>
      <c r="C244" s="4" t="inlineStr">
        <is>
          <t>Time and material</t>
        </is>
      </c>
      <c r="D244" s="4" t="inlineStr">
        <is>
          <t>Cost Tracking on Closed Project</t>
        </is>
      </c>
      <c r="E244" s="4" t="inlineStr">
        <is>
          <t>Javier Estrada</t>
        </is>
      </c>
      <c r="F244" s="5" t="n">
        <v>93100</v>
      </c>
      <c r="G244" s="5" t="n">
        <v>63801.43</v>
      </c>
      <c r="H244" s="5" t="n">
        <v>63801.43</v>
      </c>
      <c r="I244" s="5" t="n">
        <v>0</v>
      </c>
      <c r="J244" s="5" t="n">
        <v>0</v>
      </c>
      <c r="K244" s="6" t="n">
        <v>0</v>
      </c>
      <c r="L244" s="5" t="n">
        <v>65021.47</v>
      </c>
      <c r="M244" s="5" t="n">
        <v>-1220.040000000001</v>
      </c>
      <c r="N244" s="6">
        <f>IF(G244=0,0,L244/G244)</f>
        <v/>
      </c>
      <c r="O244" s="5">
        <f>J244-L244</f>
        <v/>
      </c>
      <c r="P244" s="4" t="inlineStr">
        <is>
          <t>Big Sky</t>
        </is>
      </c>
    </row>
    <row r="245">
      <c r="A245" s="4" t="inlineStr">
        <is>
          <t>26-PC-30501</t>
        </is>
      </c>
      <c r="B245" s="4" t="inlineStr">
        <is>
          <t>Hackberry Bend Bridge Replacement Architectural History Survey</t>
        </is>
      </c>
      <c r="C245" s="4" t="inlineStr">
        <is>
          <t>Fixed fee</t>
        </is>
      </c>
      <c r="D245" s="4" t="inlineStr">
        <is>
          <t>In Progress</t>
        </is>
      </c>
      <c r="E245" s="4" t="inlineStr">
        <is>
          <t>Brendan Melton</t>
        </is>
      </c>
      <c r="F245" s="5" t="n">
        <v>19900</v>
      </c>
      <c r="G245" s="5" t="n">
        <v>14258.19</v>
      </c>
      <c r="H245" s="5" t="n">
        <v>12707.2</v>
      </c>
      <c r="I245" s="5" t="n">
        <v>1550.99</v>
      </c>
      <c r="J245" s="5" t="n">
        <v>19900</v>
      </c>
      <c r="K245" s="6" t="n">
        <v>1</v>
      </c>
      <c r="L245" s="5" t="n">
        <v>18074.33</v>
      </c>
      <c r="M245" s="5" t="n">
        <v>-3816.140000000001</v>
      </c>
      <c r="N245" s="6">
        <f>IF(G245=0,0,L245/G245)</f>
        <v/>
      </c>
      <c r="O245" s="5">
        <f>J245-L245</f>
        <v/>
      </c>
      <c r="P245" s="4" t="inlineStr">
        <is>
          <t>Big Sky</t>
        </is>
      </c>
    </row>
    <row r="246">
      <c r="A246" s="4" t="inlineStr">
        <is>
          <t>26-PC-30917</t>
        </is>
      </c>
      <c r="B246" s="4" t="inlineStr">
        <is>
          <t>Heron Marsh Harbor Dredging Environmental Review Support</t>
        </is>
      </c>
      <c r="C246" s="4" t="inlineStr">
        <is>
          <t>Time and material</t>
        </is>
      </c>
      <c r="D246" s="4" t="inlineStr">
        <is>
          <t>Cost Tracking on Closed Project</t>
        </is>
      </c>
      <c r="E246" s="4" t="inlineStr">
        <is>
          <t>Alice Galloway</t>
        </is>
      </c>
      <c r="F246" s="5" t="n">
        <v>209800</v>
      </c>
      <c r="G246" s="5" t="n">
        <v>135467.86</v>
      </c>
      <c r="H246" s="5" t="n">
        <v>135467.86</v>
      </c>
      <c r="I246" s="5" t="n">
        <v>0</v>
      </c>
      <c r="J246" s="5" t="n">
        <v>0</v>
      </c>
      <c r="K246" s="6" t="n">
        <v>0</v>
      </c>
      <c r="L246" s="5" t="n">
        <v>134699.95</v>
      </c>
      <c r="M246" s="5" t="n">
        <v>767.9099999999744</v>
      </c>
      <c r="N246" s="6">
        <f>IF(G246=0,0,L246/G246)</f>
        <v/>
      </c>
      <c r="O246" s="5">
        <f>J246-L246</f>
        <v/>
      </c>
      <c r="P246" s="4" t="inlineStr">
        <is>
          <t>Bluegrass</t>
        </is>
      </c>
    </row>
    <row r="247">
      <c r="A247" s="4" t="inlineStr">
        <is>
          <t>26-PC-31064</t>
        </is>
      </c>
      <c r="B247" s="4" t="inlineStr">
        <is>
          <t>Quail Run Archaeological Testing</t>
        </is>
      </c>
      <c r="C247" s="4" t="inlineStr">
        <is>
          <t>Fixed fee</t>
        </is>
      </c>
      <c r="D247" s="4" t="inlineStr">
        <is>
          <t>Cost Tracking on Closed Project</t>
        </is>
      </c>
      <c r="E247" s="4" t="inlineStr">
        <is>
          <t>Gene Nixon</t>
        </is>
      </c>
      <c r="F247" s="5" t="n">
        <v>74500</v>
      </c>
      <c r="G247" s="5" t="n">
        <v>60394.3</v>
      </c>
      <c r="H247" s="5" t="n">
        <v>53043.19</v>
      </c>
      <c r="I247" s="5" t="n">
        <v>7351.11</v>
      </c>
      <c r="J247" s="5" t="n">
        <v>74500</v>
      </c>
      <c r="K247" s="6" t="n">
        <v>1</v>
      </c>
      <c r="L247" s="5" t="n">
        <v>76340.83</v>
      </c>
      <c r="M247" s="5" t="n">
        <v>-15946.53</v>
      </c>
      <c r="N247" s="6">
        <f>IF(G247=0,0,L247/G247)</f>
        <v/>
      </c>
      <c r="O247" s="5">
        <f>J247-L247</f>
        <v/>
      </c>
      <c r="P247" s="4" t="inlineStr">
        <is>
          <t>Cascade</t>
        </is>
      </c>
    </row>
    <row r="248">
      <c r="A248" s="4" t="inlineStr">
        <is>
          <t>26-PC-31505</t>
        </is>
      </c>
      <c r="B248" s="4" t="inlineStr">
        <is>
          <t>Raven Rock Levee Repair - Built Environment Survey</t>
        </is>
      </c>
      <c r="C248" s="4" t="inlineStr">
        <is>
          <t>Fixed fee</t>
        </is>
      </c>
      <c r="D248" s="4" t="inlineStr">
        <is>
          <t>In Progress</t>
        </is>
      </c>
      <c r="E248" s="4" t="inlineStr">
        <is>
          <t>Donald Lutz</t>
        </is>
      </c>
      <c r="F248" s="5" t="n">
        <v>44400</v>
      </c>
      <c r="G248" s="5" t="n">
        <v>34032.6</v>
      </c>
      <c r="H248" s="5" t="n">
        <v>34032.6</v>
      </c>
      <c r="I248" s="5" t="n">
        <v>0</v>
      </c>
      <c r="J248" s="5" t="n">
        <v>31128.84</v>
      </c>
      <c r="K248" s="6" t="n">
        <v>0.701</v>
      </c>
      <c r="L248" s="5" t="n">
        <v>23861.11</v>
      </c>
      <c r="M248" s="5" t="n">
        <v>10171.49</v>
      </c>
      <c r="N248" s="6">
        <f>IF(G248=0,0,L248/G248)</f>
        <v/>
      </c>
      <c r="O248" s="5">
        <f>J248-L248</f>
        <v/>
      </c>
      <c r="P248" s="4" t="inlineStr">
        <is>
          <t>Cascade</t>
        </is>
      </c>
    </row>
    <row r="249">
      <c r="A249" s="4" t="inlineStr">
        <is>
          <t>26-PC-32394</t>
        </is>
      </c>
      <c r="B249" s="4" t="inlineStr">
        <is>
          <t>Timber Gap Highway Widening Paleontological Monitoring</t>
        </is>
      </c>
      <c r="C249" s="4" t="inlineStr">
        <is>
          <t>Time and material</t>
        </is>
      </c>
      <c r="D249" s="4" t="inlineStr">
        <is>
          <t>In Progress</t>
        </is>
      </c>
      <c r="E249" s="4" t="inlineStr">
        <is>
          <t>Bryan Mann</t>
        </is>
      </c>
      <c r="F249" s="5" t="n">
        <v>13700</v>
      </c>
      <c r="G249" s="5" t="n">
        <v>9522.870000000001</v>
      </c>
      <c r="H249" s="5" t="n">
        <v>9522.870000000001</v>
      </c>
      <c r="I249" s="5" t="n">
        <v>0</v>
      </c>
      <c r="J249" s="5" t="n">
        <v>13700</v>
      </c>
      <c r="K249" s="6" t="n">
        <v>1</v>
      </c>
      <c r="L249" s="5" t="n">
        <v>31103.81</v>
      </c>
      <c r="M249" s="5" t="n">
        <v>-21580.94</v>
      </c>
      <c r="N249" s="6">
        <f>IF(G249=0,0,L249/G249)</f>
        <v/>
      </c>
      <c r="O249" s="5">
        <f>J249-L249</f>
        <v/>
      </c>
      <c r="P249" s="4" t="inlineStr">
        <is>
          <t>Chesapeake</t>
        </is>
      </c>
    </row>
    <row r="250">
      <c r="A250" s="4" t="inlineStr">
        <is>
          <t>26-PC-32744</t>
        </is>
      </c>
      <c r="B250" s="4" t="inlineStr">
        <is>
          <t>Sea Oat Airport Apron Phase II Testing</t>
        </is>
      </c>
      <c r="C250" s="4" t="inlineStr">
        <is>
          <t>Time and material</t>
        </is>
      </c>
      <c r="D250" s="4" t="inlineStr">
        <is>
          <t>Cost Tracking on Closed Project</t>
        </is>
      </c>
      <c r="E250" s="4" t="inlineStr">
        <is>
          <t>Sandy Kerr</t>
        </is>
      </c>
      <c r="F250" s="5" t="n">
        <v>137100</v>
      </c>
      <c r="G250" s="5" t="n">
        <v>100617.66</v>
      </c>
      <c r="H250" s="5" t="n">
        <v>93287.5</v>
      </c>
      <c r="I250" s="5" t="n">
        <v>7330.16</v>
      </c>
      <c r="J250" s="5" t="n">
        <v>0</v>
      </c>
      <c r="K250" s="6" t="n">
        <v>0</v>
      </c>
      <c r="L250" s="5" t="n">
        <v>122245.29</v>
      </c>
      <c r="M250" s="5" t="n">
        <v>-21627.62999999999</v>
      </c>
      <c r="N250" s="6">
        <f>IF(G250=0,0,L250/G250)</f>
        <v/>
      </c>
      <c r="O250" s="5">
        <f>J250-L250</f>
        <v/>
      </c>
      <c r="P250" s="4" t="inlineStr">
        <is>
          <t>Chesapeake</t>
        </is>
      </c>
    </row>
    <row r="251">
      <c r="A251" s="4" t="inlineStr">
        <is>
          <t>26-PC-33703</t>
        </is>
      </c>
      <c r="B251" s="4" t="inlineStr">
        <is>
          <t>Plover Cove Mixed-Use Development - GIS Mapping</t>
        </is>
      </c>
      <c r="C251" s="4" t="inlineStr">
        <is>
          <t>Fixed fee</t>
        </is>
      </c>
      <c r="D251" s="4" t="inlineStr">
        <is>
          <t>Final Reporting/Review</t>
        </is>
      </c>
      <c r="E251" s="4" t="inlineStr">
        <is>
          <t>Karl Valenzuela</t>
        </is>
      </c>
      <c r="F251" s="5" t="n">
        <v>21700</v>
      </c>
      <c r="G251" s="5" t="n">
        <v>18501.42</v>
      </c>
      <c r="H251" s="5" t="n">
        <v>18501.42</v>
      </c>
      <c r="I251" s="5" t="n">
        <v>0</v>
      </c>
      <c r="J251" s="5" t="n">
        <v>21700</v>
      </c>
      <c r="K251" s="6" t="n">
        <v>1</v>
      </c>
      <c r="L251" s="5" t="n">
        <v>21928.62</v>
      </c>
      <c r="M251" s="5" t="n">
        <v>-3427.200000000001</v>
      </c>
      <c r="N251" s="6">
        <f>IF(G251=0,0,L251/G251)</f>
        <v/>
      </c>
      <c r="O251" s="5">
        <f>J251-L251</f>
        <v/>
      </c>
      <c r="P251" s="4" t="inlineStr">
        <is>
          <t>Great Lakes</t>
        </is>
      </c>
    </row>
    <row r="252">
      <c r="A252" s="4" t="inlineStr">
        <is>
          <t>26-PC-34101</t>
        </is>
      </c>
      <c r="B252" s="4" t="inlineStr">
        <is>
          <t>North Fork Rail Siding Paleontological Monitoring</t>
        </is>
      </c>
      <c r="C252" s="4" t="inlineStr">
        <is>
          <t>Fixed fee</t>
        </is>
      </c>
      <c r="D252" s="4" t="inlineStr">
        <is>
          <t>In Progress</t>
        </is>
      </c>
      <c r="E252" s="4" t="inlineStr">
        <is>
          <t>Nathan Lambert</t>
        </is>
      </c>
      <c r="F252" s="5" t="n">
        <v>76400</v>
      </c>
      <c r="G252" s="5" t="n">
        <v>53087.85</v>
      </c>
      <c r="H252" s="5" t="n">
        <v>46646.64</v>
      </c>
      <c r="I252" s="5" t="n">
        <v>6441.21</v>
      </c>
      <c r="J252" s="5" t="n">
        <v>76400</v>
      </c>
      <c r="K252" s="6" t="n">
        <v>1</v>
      </c>
      <c r="L252" s="5" t="n">
        <v>80951.17999999999</v>
      </c>
      <c r="M252" s="5" t="n">
        <v>-27863.32999999999</v>
      </c>
      <c r="N252" s="6">
        <f>IF(G252=0,0,L252/G252)</f>
        <v/>
      </c>
      <c r="O252" s="5">
        <f>J252-L252</f>
        <v/>
      </c>
      <c r="P252" s="4" t="inlineStr">
        <is>
          <t>Great Lakes</t>
        </is>
      </c>
    </row>
    <row r="253">
      <c r="A253" s="4" t="inlineStr">
        <is>
          <t>26-PC-34757</t>
        </is>
      </c>
      <c r="B253" s="4" t="inlineStr">
        <is>
          <t>Kestrel Butte Data Recovery</t>
        </is>
      </c>
      <c r="C253" s="4" t="inlineStr">
        <is>
          <t>Time and material</t>
        </is>
      </c>
      <c r="D253" s="4" t="inlineStr">
        <is>
          <t>In Progress</t>
        </is>
      </c>
      <c r="E253" s="4" t="inlineStr">
        <is>
          <t>Angelica Cervantes</t>
        </is>
      </c>
      <c r="F253" s="5" t="n">
        <v>43800</v>
      </c>
      <c r="G253" s="5" t="n">
        <v>30230.76</v>
      </c>
      <c r="H253" s="5" t="n">
        <v>30230.76</v>
      </c>
      <c r="I253" s="5" t="n">
        <v>0</v>
      </c>
      <c r="J253" s="5" t="n">
        <v>43800</v>
      </c>
      <c r="K253" s="6" t="n">
        <v>1</v>
      </c>
      <c r="L253" s="5" t="n">
        <v>49508.25</v>
      </c>
      <c r="M253" s="5" t="n">
        <v>-19277.49</v>
      </c>
      <c r="N253" s="6">
        <f>IF(G253=0,0,L253/G253)</f>
        <v/>
      </c>
      <c r="O253" s="5">
        <f>J253-L253</f>
        <v/>
      </c>
      <c r="P253" s="4" t="inlineStr">
        <is>
          <t>Great Lakes</t>
        </is>
      </c>
    </row>
    <row r="254">
      <c r="A254" s="4" t="inlineStr">
        <is>
          <t>26-PC-34982</t>
        </is>
      </c>
      <c r="B254" s="4" t="inlineStr">
        <is>
          <t>Sandpiper Historic Resources Evaluation</t>
        </is>
      </c>
      <c r="C254" s="4" t="inlineStr">
        <is>
          <t>Time and material</t>
        </is>
      </c>
      <c r="D254" s="4" t="inlineStr">
        <is>
          <t>In Progress</t>
        </is>
      </c>
      <c r="E254" s="4" t="inlineStr">
        <is>
          <t>Bernard Erickson</t>
        </is>
      </c>
      <c r="F254" s="5" t="n">
        <v>10600</v>
      </c>
      <c r="G254" s="5" t="n">
        <v>7895.94</v>
      </c>
      <c r="H254" s="5" t="n">
        <v>7895.94</v>
      </c>
      <c r="I254" s="5" t="n">
        <v>0</v>
      </c>
      <c r="J254" s="5" t="n">
        <v>10600</v>
      </c>
      <c r="K254" s="6" t="n">
        <v>1</v>
      </c>
      <c r="L254" s="5" t="n">
        <v>18818.09</v>
      </c>
      <c r="M254" s="5" t="n">
        <v>-10922.15</v>
      </c>
      <c r="N254" s="6">
        <f>IF(G254=0,0,L254/G254)</f>
        <v/>
      </c>
      <c r="O254" s="5">
        <f>J254-L254</f>
        <v/>
      </c>
      <c r="P254" s="4" t="inlineStr">
        <is>
          <t>Gulf Coast West</t>
        </is>
      </c>
    </row>
    <row r="255">
      <c r="A255" s="4" t="inlineStr">
        <is>
          <t>26-PC-35103</t>
        </is>
      </c>
      <c r="B255" s="4" t="inlineStr">
        <is>
          <t>Kestrel Butte Harbor Dredging - Historic Resources Evaluation</t>
        </is>
      </c>
      <c r="C255" s="4" t="inlineStr">
        <is>
          <t>Fixed fee</t>
        </is>
      </c>
      <c r="D255" s="4" t="inlineStr">
        <is>
          <t>In Progress</t>
        </is>
      </c>
      <c r="E255" s="4" t="inlineStr">
        <is>
          <t>Courtney Daugherty</t>
        </is>
      </c>
      <c r="F255" s="5" t="n">
        <v>29600</v>
      </c>
      <c r="G255" s="5" t="n">
        <v>19287.36</v>
      </c>
      <c r="H255" s="5" t="n">
        <v>19287.36</v>
      </c>
      <c r="I255" s="5" t="n">
        <v>0</v>
      </c>
      <c r="J255" s="5" t="n">
        <v>29600</v>
      </c>
      <c r="K255" s="6" t="n">
        <v>1</v>
      </c>
      <c r="L255" s="5" t="n">
        <v>56287.28</v>
      </c>
      <c r="M255" s="5" t="n">
        <v>-36999.92</v>
      </c>
      <c r="N255" s="6">
        <f>IF(G255=0,0,L255/G255)</f>
        <v/>
      </c>
      <c r="O255" s="5">
        <f>J255-L255</f>
        <v/>
      </c>
      <c r="P255" s="4" t="inlineStr">
        <is>
          <t>Gulf Coast East</t>
        </is>
      </c>
    </row>
    <row r="256">
      <c r="A256" s="4" t="inlineStr">
        <is>
          <t>26-PC-35510</t>
        </is>
      </c>
      <c r="B256" s="4" t="inlineStr">
        <is>
          <t>Blue Heron Wind Farm - Phase I Survey</t>
        </is>
      </c>
      <c r="C256" s="4" t="inlineStr">
        <is>
          <t>Fixed fee</t>
        </is>
      </c>
      <c r="D256" s="4" t="inlineStr">
        <is>
          <t>In Progress</t>
        </is>
      </c>
      <c r="E256" s="4" t="inlineStr">
        <is>
          <t>Eileen Poole</t>
        </is>
      </c>
      <c r="F256" s="5" t="n">
        <v>68900</v>
      </c>
      <c r="G256" s="5" t="n">
        <v>53679.99</v>
      </c>
      <c r="H256" s="5" t="n">
        <v>53679.99</v>
      </c>
      <c r="I256" s="5" t="n">
        <v>0</v>
      </c>
      <c r="J256" s="5" t="n">
        <v>59529.6</v>
      </c>
      <c r="K256" s="6" t="n">
        <v>0.864</v>
      </c>
      <c r="L256" s="5" t="n">
        <v>46380.29</v>
      </c>
      <c r="M256" s="5" t="n">
        <v>7299.699999999997</v>
      </c>
      <c r="N256" s="6">
        <f>IF(G256=0,0,L256/G256)</f>
        <v/>
      </c>
      <c r="O256" s="5">
        <f>J256-L256</f>
        <v/>
      </c>
      <c r="P256" s="4" t="inlineStr">
        <is>
          <t>High Desert</t>
        </is>
      </c>
    </row>
    <row r="257">
      <c r="A257" s="4" t="inlineStr">
        <is>
          <t>26-PC-35766</t>
        </is>
      </c>
      <c r="B257" s="4" t="inlineStr">
        <is>
          <t>Eagle Bend Solar - Architectural History Survey</t>
        </is>
      </c>
      <c r="C257" s="4" t="inlineStr">
        <is>
          <t>Fixed fee</t>
        </is>
      </c>
      <c r="D257" s="4" t="inlineStr">
        <is>
          <t>Cost Tracking on Closed Project</t>
        </is>
      </c>
      <c r="E257" s="4" t="inlineStr">
        <is>
          <t>Jody Wang</t>
        </is>
      </c>
      <c r="F257" s="5" t="n">
        <v>26300</v>
      </c>
      <c r="G257" s="5" t="n">
        <v>19575.09</v>
      </c>
      <c r="H257" s="5" t="n">
        <v>19575.09</v>
      </c>
      <c r="I257" s="5" t="n">
        <v>0</v>
      </c>
      <c r="J257" s="5" t="n">
        <v>26300</v>
      </c>
      <c r="K257" s="6" t="n">
        <v>1</v>
      </c>
      <c r="L257" s="5" t="n">
        <v>22787.95</v>
      </c>
      <c r="M257" s="5" t="n">
        <v>-3212.860000000001</v>
      </c>
      <c r="N257" s="6">
        <f>IF(G257=0,0,L257/G257)</f>
        <v/>
      </c>
      <c r="O257" s="5">
        <f>J257-L257</f>
        <v/>
      </c>
      <c r="P257" s="4" t="inlineStr">
        <is>
          <t>High Desert</t>
        </is>
      </c>
    </row>
    <row r="258">
      <c r="A258" s="4" t="inlineStr">
        <is>
          <t>26-PC-37559</t>
        </is>
      </c>
      <c r="B258" s="4" t="inlineStr">
        <is>
          <t>Badger Hollow Paleontological Monitoring</t>
        </is>
      </c>
      <c r="C258" s="4" t="inlineStr">
        <is>
          <t>Time and material</t>
        </is>
      </c>
      <c r="D258" s="4" t="inlineStr">
        <is>
          <t>In Progress</t>
        </is>
      </c>
      <c r="E258" s="4" t="inlineStr">
        <is>
          <t>Jody Chung</t>
        </is>
      </c>
      <c r="F258" s="5" t="n">
        <v>44300</v>
      </c>
      <c r="G258" s="5" t="n">
        <v>28024.18</v>
      </c>
      <c r="H258" s="5" t="n">
        <v>28024.18</v>
      </c>
      <c r="I258" s="5" t="n">
        <v>0</v>
      </c>
      <c r="J258" s="5" t="n">
        <v>44300</v>
      </c>
      <c r="K258" s="6" t="n">
        <v>1</v>
      </c>
      <c r="L258" s="5" t="n">
        <v>45539.17</v>
      </c>
      <c r="M258" s="5" t="n">
        <v>-17514.99</v>
      </c>
      <c r="N258" s="6">
        <f>IF(G258=0,0,L258/G258)</f>
        <v/>
      </c>
      <c r="O258" s="5">
        <f>J258-L258</f>
        <v/>
      </c>
      <c r="P258" s="4" t="inlineStr">
        <is>
          <t>Piedmont</t>
        </is>
      </c>
    </row>
    <row r="259">
      <c r="A259" s="4" t="inlineStr">
        <is>
          <t>26-PC-37705</t>
        </is>
      </c>
      <c r="B259" s="4" t="inlineStr">
        <is>
          <t>On-Call: Silver Lake Canal Lining Curation</t>
        </is>
      </c>
      <c r="C259" s="4" t="inlineStr">
        <is>
          <t>Fixed fee</t>
        </is>
      </c>
      <c r="D259" s="4" t="inlineStr">
        <is>
          <t>In Progress</t>
        </is>
      </c>
      <c r="E259" s="4" t="inlineStr">
        <is>
          <t>Jody Chung</t>
        </is>
      </c>
      <c r="F259" s="5" t="n">
        <v>40300</v>
      </c>
      <c r="G259" s="5" t="n">
        <v>32312.54</v>
      </c>
      <c r="H259" s="5" t="n">
        <v>32312.54</v>
      </c>
      <c r="I259" s="5" t="n">
        <v>0</v>
      </c>
      <c r="J259" s="5" t="n">
        <v>31772.52</v>
      </c>
      <c r="K259" s="6" t="n">
        <v>0.788</v>
      </c>
      <c r="L259" s="5" t="n">
        <v>25475.14</v>
      </c>
      <c r="M259" s="5" t="n">
        <v>6837.400000000001</v>
      </c>
      <c r="N259" s="6">
        <f>IF(G259=0,0,L259/G259)</f>
        <v/>
      </c>
      <c r="O259" s="5">
        <f>J259-L259</f>
        <v/>
      </c>
      <c r="P259" s="4" t="inlineStr">
        <is>
          <t>Piedmont</t>
        </is>
      </c>
    </row>
    <row r="260">
      <c r="A260" s="4" t="inlineStr">
        <is>
          <t>26-PC-37709</t>
        </is>
      </c>
      <c r="B260" s="4" t="inlineStr">
        <is>
          <t>Sage Flat Phase I Survey</t>
        </is>
      </c>
      <c r="C260" s="4" t="inlineStr">
        <is>
          <t>Fixed fee</t>
        </is>
      </c>
      <c r="D260" s="4" t="inlineStr">
        <is>
          <t>Final Reporting/Review</t>
        </is>
      </c>
      <c r="E260" s="4" t="inlineStr">
        <is>
          <t>Maria Parrish</t>
        </is>
      </c>
      <c r="F260" s="5" t="n">
        <v>31500</v>
      </c>
      <c r="G260" s="5" t="n">
        <v>21725.55</v>
      </c>
      <c r="H260" s="5" t="n">
        <v>21725.55</v>
      </c>
      <c r="I260" s="5" t="n">
        <v>0</v>
      </c>
      <c r="J260" s="5" t="n">
        <v>31500</v>
      </c>
      <c r="K260" s="6" t="n">
        <v>1</v>
      </c>
      <c r="L260" s="5" t="n">
        <v>30289.1</v>
      </c>
      <c r="M260" s="5" t="n">
        <v>-8563.549999999999</v>
      </c>
      <c r="N260" s="6">
        <f>IF(G260=0,0,L260/G260)</f>
        <v/>
      </c>
      <c r="O260" s="5">
        <f>J260-L260</f>
        <v/>
      </c>
      <c r="P260" s="4" t="inlineStr">
        <is>
          <t>Piedmont</t>
        </is>
      </c>
    </row>
    <row r="261">
      <c r="A261" s="4" t="inlineStr">
        <is>
          <t>26-PC-37965</t>
        </is>
      </c>
      <c r="B261" s="4" t="inlineStr">
        <is>
          <t>Redbud Cultural Resources Assessment</t>
        </is>
      </c>
      <c r="C261" s="4" t="inlineStr">
        <is>
          <t>Time and material</t>
        </is>
      </c>
      <c r="D261" s="4" t="inlineStr">
        <is>
          <t>In Progress</t>
        </is>
      </c>
      <c r="E261" s="4" t="inlineStr">
        <is>
          <t>Annette Vaughan</t>
        </is>
      </c>
      <c r="F261" s="5" t="n">
        <v>55400</v>
      </c>
      <c r="G261" s="5" t="n">
        <v>34625</v>
      </c>
      <c r="H261" s="5" t="n">
        <v>34625</v>
      </c>
      <c r="I261" s="5" t="n">
        <v>0</v>
      </c>
      <c r="J261" s="5" t="n">
        <v>50946.25</v>
      </c>
      <c r="K261" s="6" t="n">
        <v>0.92</v>
      </c>
      <c r="L261" s="5" t="n">
        <v>31687.21</v>
      </c>
      <c r="M261" s="5" t="n">
        <v>2937.790000000001</v>
      </c>
      <c r="N261" s="6">
        <f>IF(G261=0,0,L261/G261)</f>
        <v/>
      </c>
      <c r="O261" s="5">
        <f>J261-L261</f>
        <v/>
      </c>
      <c r="P261" s="4" t="inlineStr">
        <is>
          <t>Piedmont</t>
        </is>
      </c>
    </row>
    <row r="262">
      <c r="A262" s="4" t="inlineStr">
        <is>
          <t>26-PC-38410</t>
        </is>
      </c>
      <c r="B262" s="4" t="inlineStr">
        <is>
          <t>On-Call: Tamarack Park Improvements Class III Survey</t>
        </is>
      </c>
      <c r="C262" s="4" t="inlineStr">
        <is>
          <t>Time and material</t>
        </is>
      </c>
      <c r="D262" s="4" t="inlineStr">
        <is>
          <t>In Progress</t>
        </is>
      </c>
      <c r="E262" s="4" t="inlineStr">
        <is>
          <t>Sherry Lloyd</t>
        </is>
      </c>
      <c r="F262" s="5" t="n">
        <v>48300</v>
      </c>
      <c r="G262" s="5" t="n">
        <v>32887.47</v>
      </c>
      <c r="H262" s="5" t="n">
        <v>32887.47</v>
      </c>
      <c r="I262" s="5" t="n">
        <v>0</v>
      </c>
      <c r="J262" s="5" t="n">
        <v>38345.25</v>
      </c>
      <c r="K262" s="6" t="n">
        <v>0.794</v>
      </c>
      <c r="L262" s="5" t="n">
        <v>24978.26</v>
      </c>
      <c r="M262" s="5" t="n">
        <v>7909.210000000003</v>
      </c>
      <c r="N262" s="6">
        <f>IF(G262=0,0,L262/G262)</f>
        <v/>
      </c>
      <c r="O262" s="5">
        <f>J262-L262</f>
        <v/>
      </c>
      <c r="P262" s="4" t="inlineStr">
        <is>
          <t>Prairie</t>
        </is>
      </c>
    </row>
    <row r="263">
      <c r="A263" s="4" t="inlineStr">
        <is>
          <t>26-PC-38624</t>
        </is>
      </c>
      <c r="B263" s="4" t="inlineStr">
        <is>
          <t>Juniper Wash Built Environment Survey</t>
        </is>
      </c>
      <c r="C263" s="4" t="inlineStr">
        <is>
          <t>Fixed fee</t>
        </is>
      </c>
      <c r="D263" s="4" t="inlineStr">
        <is>
          <t>Cost Tracking on Closed Project</t>
        </is>
      </c>
      <c r="E263" s="4" t="inlineStr">
        <is>
          <t>Bruce Suarez</t>
        </is>
      </c>
      <c r="F263" s="5" t="n">
        <v>77900</v>
      </c>
      <c r="G263" s="5" t="n">
        <v>56578.77</v>
      </c>
      <c r="H263" s="5" t="n">
        <v>56578.77</v>
      </c>
      <c r="I263" s="5" t="n">
        <v>0</v>
      </c>
      <c r="J263" s="5" t="n">
        <v>77900</v>
      </c>
      <c r="K263" s="6" t="n">
        <v>1</v>
      </c>
      <c r="L263" s="5" t="n">
        <v>73552.39999999999</v>
      </c>
      <c r="M263" s="5" t="n">
        <v>-16973.63</v>
      </c>
      <c r="N263" s="6">
        <f>IF(G263=0,0,L263/G263)</f>
        <v/>
      </c>
      <c r="O263" s="5">
        <f>J263-L263</f>
        <v/>
      </c>
      <c r="P263" s="4" t="inlineStr">
        <is>
          <t>Red Rock</t>
        </is>
      </c>
    </row>
    <row r="264">
      <c r="A264" s="4" t="inlineStr">
        <is>
          <t>26-PC-38737</t>
        </is>
      </c>
      <c r="B264" s="4" t="inlineStr">
        <is>
          <t>Pebble Beach Road Wind Farm Historic Resources Evaluation</t>
        </is>
      </c>
      <c r="C264" s="4" t="inlineStr">
        <is>
          <t>Time and material</t>
        </is>
      </c>
      <c r="D264" s="4" t="inlineStr">
        <is>
          <t>In Progress</t>
        </is>
      </c>
      <c r="E264" s="4" t="inlineStr">
        <is>
          <t>Tina Aguirre</t>
        </is>
      </c>
      <c r="F264" s="5" t="n">
        <v>97700</v>
      </c>
      <c r="G264" s="5" t="n">
        <v>60828.02</v>
      </c>
      <c r="H264" s="5" t="n">
        <v>60828.02</v>
      </c>
      <c r="I264" s="5" t="n">
        <v>0</v>
      </c>
      <c r="J264" s="5" t="n">
        <v>97700</v>
      </c>
      <c r="K264" s="6" t="n">
        <v>1</v>
      </c>
      <c r="L264" s="5" t="n">
        <v>76641.91</v>
      </c>
      <c r="M264" s="5" t="n">
        <v>-15813.89000000001</v>
      </c>
      <c r="N264" s="6">
        <f>IF(G264=0,0,L264/G264)</f>
        <v/>
      </c>
      <c r="O264" s="5">
        <f>J264-L264</f>
        <v/>
      </c>
      <c r="P264" s="4" t="inlineStr">
        <is>
          <t>Red Rock</t>
        </is>
      </c>
    </row>
    <row r="265">
      <c r="A265" s="4" t="inlineStr">
        <is>
          <t>26-PC-39165</t>
        </is>
      </c>
      <c r="B265" s="4" t="inlineStr">
        <is>
          <t>Pebble Beach Road Phase I Survey</t>
        </is>
      </c>
      <c r="C265" s="4" t="inlineStr">
        <is>
          <t>Fixed fee</t>
        </is>
      </c>
      <c r="D265" s="4" t="inlineStr">
        <is>
          <t>Final Reporting/Review</t>
        </is>
      </c>
      <c r="E265" s="4" t="inlineStr">
        <is>
          <t>Tina Aguirre</t>
        </is>
      </c>
      <c r="F265" s="5" t="n">
        <v>94300</v>
      </c>
      <c r="G265" s="5" t="n">
        <v>63218.72</v>
      </c>
      <c r="H265" s="5" t="n">
        <v>63218.72</v>
      </c>
      <c r="I265" s="5" t="n">
        <v>0</v>
      </c>
      <c r="J265" s="5" t="n">
        <v>87472.67999999999</v>
      </c>
      <c r="K265" s="6" t="n">
        <v>0.928</v>
      </c>
      <c r="L265" s="5" t="n">
        <v>58643.27</v>
      </c>
      <c r="M265" s="5" t="n">
        <v>4575.450000000004</v>
      </c>
      <c r="N265" s="6">
        <f>IF(G265=0,0,L265/G265)</f>
        <v/>
      </c>
      <c r="O265" s="5">
        <f>J265-L265</f>
        <v/>
      </c>
      <c r="P265" s="4" t="inlineStr">
        <is>
          <t>Red Rock</t>
        </is>
      </c>
    </row>
    <row r="266">
      <c r="A266" s="4" t="inlineStr">
        <is>
          <t>26-PC-39587</t>
        </is>
      </c>
      <c r="B266" s="4" t="inlineStr">
        <is>
          <t>Ember Valley Curation</t>
        </is>
      </c>
      <c r="C266" s="4" t="inlineStr">
        <is>
          <t>Time and material</t>
        </is>
      </c>
      <c r="D266" s="4" t="inlineStr">
        <is>
          <t>Cost Tracking on Closed Project</t>
        </is>
      </c>
      <c r="E266" s="4" t="inlineStr">
        <is>
          <t>Javier Newman</t>
        </is>
      </c>
      <c r="F266" s="5" t="n">
        <v>288900</v>
      </c>
      <c r="G266" s="5" t="n">
        <v>211965.93</v>
      </c>
      <c r="H266" s="5" t="n">
        <v>211965.93</v>
      </c>
      <c r="I266" s="5" t="n">
        <v>0</v>
      </c>
      <c r="J266" s="5" t="n">
        <v>0</v>
      </c>
      <c r="K266" s="6" t="n">
        <v>0</v>
      </c>
      <c r="L266" s="5" t="n">
        <v>213449.22</v>
      </c>
      <c r="M266" s="5" t="n">
        <v>-1483.290000000008</v>
      </c>
      <c r="N266" s="6">
        <f>IF(G266=0,0,L266/G266)</f>
        <v/>
      </c>
      <c r="O266" s="5">
        <f>J266-L266</f>
        <v/>
      </c>
      <c r="P266" s="4" t="inlineStr">
        <is>
          <t>Red Rock</t>
        </is>
      </c>
    </row>
    <row r="267">
      <c r="A267" s="4" t="inlineStr">
        <is>
          <t>26-PC-39725</t>
        </is>
      </c>
      <c r="B267" s="4" t="inlineStr">
        <is>
          <t>Kestrel Butte Mine Expansion Cultural Resources Assessment</t>
        </is>
      </c>
      <c r="C267" s="4" t="inlineStr">
        <is>
          <t>Fixed fee</t>
        </is>
      </c>
      <c r="D267" s="4" t="inlineStr">
        <is>
          <t>Cost Tracking on Closed Project</t>
        </is>
      </c>
      <c r="E267" s="4" t="inlineStr">
        <is>
          <t>Tina Aguirre</t>
        </is>
      </c>
      <c r="F267" s="5" t="n">
        <v>115900</v>
      </c>
      <c r="G267" s="5" t="n">
        <v>86530.94</v>
      </c>
      <c r="H267" s="5" t="n">
        <v>86530.94</v>
      </c>
      <c r="I267" s="5" t="n">
        <v>0</v>
      </c>
      <c r="J267" s="5" t="n">
        <v>115900</v>
      </c>
      <c r="K267" s="6" t="n">
        <v>1</v>
      </c>
      <c r="L267" s="5" t="n">
        <v>99694.97</v>
      </c>
      <c r="M267" s="5" t="n">
        <v>-13164.03</v>
      </c>
      <c r="N267" s="6">
        <f>IF(G267=0,0,L267/G267)</f>
        <v/>
      </c>
      <c r="O267" s="5">
        <f>J267-L267</f>
        <v/>
      </c>
      <c r="P267" s="4" t="inlineStr">
        <is>
          <t>Red Rock</t>
        </is>
      </c>
    </row>
    <row r="268">
      <c r="A268" s="4" t="inlineStr">
        <is>
          <t>26-PC-40334</t>
        </is>
      </c>
      <c r="B268" s="4" t="inlineStr">
        <is>
          <t>Stone Mill Airport Apron - Class III Survey</t>
        </is>
      </c>
      <c r="C268" s="4" t="inlineStr">
        <is>
          <t>Fixed fee</t>
        </is>
      </c>
      <c r="D268" s="4" t="inlineStr">
        <is>
          <t>In Progress</t>
        </is>
      </c>
      <c r="E268" s="4" t="inlineStr">
        <is>
          <t>Donna Herring</t>
        </is>
      </c>
      <c r="F268" s="5" t="n">
        <v>96900</v>
      </c>
      <c r="G268" s="5" t="n">
        <v>68401.71000000001</v>
      </c>
      <c r="H268" s="5" t="n">
        <v>68401.71000000001</v>
      </c>
      <c r="I268" s="5" t="n">
        <v>0</v>
      </c>
      <c r="J268" s="5" t="n">
        <v>96900</v>
      </c>
      <c r="K268" s="6" t="n">
        <v>1</v>
      </c>
      <c r="L268" s="5" t="n">
        <v>75128.42999999999</v>
      </c>
      <c r="M268" s="5" t="n">
        <v>-6726.719999999987</v>
      </c>
      <c r="N268" s="6">
        <f>IF(G268=0,0,L268/G268)</f>
        <v/>
      </c>
      <c r="O268" s="5">
        <f>J268-L268</f>
        <v/>
      </c>
      <c r="P268" s="4" t="inlineStr">
        <is>
          <t>Sierra North</t>
        </is>
      </c>
    </row>
    <row r="269">
      <c r="A269" s="4" t="inlineStr">
        <is>
          <t>26-PC-40344</t>
        </is>
      </c>
      <c r="B269" s="4" t="inlineStr">
        <is>
          <t>Tansy Flat Housing Development - Archaeological Testing</t>
        </is>
      </c>
      <c r="C269" s="4" t="inlineStr">
        <is>
          <t>Fixed fee</t>
        </is>
      </c>
      <c r="D269" s="4" t="inlineStr">
        <is>
          <t>Final Reporting/Review</t>
        </is>
      </c>
      <c r="E269" s="4" t="inlineStr">
        <is>
          <t>Louis Huff</t>
        </is>
      </c>
      <c r="F269" s="5" t="n">
        <v>19200</v>
      </c>
      <c r="G269" s="5" t="n">
        <v>14098.56</v>
      </c>
      <c r="H269" s="5" t="n">
        <v>14098.56</v>
      </c>
      <c r="I269" s="5" t="n">
        <v>0</v>
      </c>
      <c r="J269" s="5" t="n">
        <v>19200</v>
      </c>
      <c r="K269" s="6" t="n">
        <v>1</v>
      </c>
      <c r="L269" s="5" t="n">
        <v>18399.82</v>
      </c>
      <c r="M269" s="5" t="n">
        <v>-4301.26</v>
      </c>
      <c r="N269" s="6">
        <f>IF(G269=0,0,L269/G269)</f>
        <v/>
      </c>
      <c r="O269" s="5">
        <f>J269-L269</f>
        <v/>
      </c>
      <c r="P269" s="4" t="inlineStr">
        <is>
          <t>Sierra</t>
        </is>
      </c>
    </row>
    <row r="270">
      <c r="A270" s="4" t="inlineStr">
        <is>
          <t>26-PC-40361</t>
        </is>
      </c>
      <c r="B270" s="4" t="inlineStr">
        <is>
          <t>Sea Oat Cultural Resources Assessment</t>
        </is>
      </c>
      <c r="C270" s="4" t="inlineStr">
        <is>
          <t>Fixed fee</t>
        </is>
      </c>
      <c r="D270" s="4" t="inlineStr">
        <is>
          <t>In Progress</t>
        </is>
      </c>
      <c r="E270" s="4" t="inlineStr">
        <is>
          <t>Donna Herring</t>
        </is>
      </c>
      <c r="F270" s="5" t="n">
        <v>156300</v>
      </c>
      <c r="G270" s="5" t="n">
        <v>102829.77</v>
      </c>
      <c r="H270" s="5" t="n">
        <v>102829.77</v>
      </c>
      <c r="I270" s="5" t="n">
        <v>0</v>
      </c>
      <c r="J270" s="5" t="n">
        <v>117897.09</v>
      </c>
      <c r="K270" s="6" t="n">
        <v>0.754</v>
      </c>
      <c r="L270" s="5" t="n">
        <v>77565.49000000001</v>
      </c>
      <c r="M270" s="5" t="n">
        <v>25264.28</v>
      </c>
      <c r="N270" s="6">
        <f>IF(G270=0,0,L270/G270)</f>
        <v/>
      </c>
      <c r="O270" s="5">
        <f>J270-L270</f>
        <v/>
      </c>
      <c r="P270" s="4" t="inlineStr">
        <is>
          <t>Sierra</t>
        </is>
      </c>
    </row>
    <row r="271">
      <c r="A271" s="4" t="inlineStr">
        <is>
          <t>26-PC-40422</t>
        </is>
      </c>
      <c r="B271" s="4" t="inlineStr">
        <is>
          <t>Oak Terrace Mixed-Use Development - Architectural History Survey</t>
        </is>
      </c>
      <c r="C271" s="4" t="inlineStr">
        <is>
          <t>Fixed fee</t>
        </is>
      </c>
      <c r="D271" s="4" t="inlineStr">
        <is>
          <t>Final Reporting/Review</t>
        </is>
      </c>
      <c r="E271" s="4" t="inlineStr">
        <is>
          <t>Donna Herring</t>
        </is>
      </c>
      <c r="F271" s="5" t="n">
        <v>5900</v>
      </c>
      <c r="G271" s="5" t="n">
        <v>4379.73</v>
      </c>
      <c r="H271" s="5" t="n">
        <v>3449.54</v>
      </c>
      <c r="I271" s="5" t="n">
        <v>930.1900000000001</v>
      </c>
      <c r="J271" s="5" t="n">
        <v>5900</v>
      </c>
      <c r="K271" s="6" t="n">
        <v>1</v>
      </c>
      <c r="L271" s="5" t="n">
        <v>8489.9</v>
      </c>
      <c r="M271" s="5" t="n">
        <v>-4110.17</v>
      </c>
      <c r="N271" s="6">
        <f>IF(G271=0,0,L271/G271)</f>
        <v/>
      </c>
      <c r="O271" s="5">
        <f>J271-L271</f>
        <v/>
      </c>
      <c r="P271" s="4" t="inlineStr">
        <is>
          <t>Sierra South</t>
        </is>
      </c>
    </row>
    <row r="272">
      <c r="A272" s="4" t="inlineStr">
        <is>
          <t>26-PC-40464</t>
        </is>
      </c>
      <c r="B272" s="4" t="inlineStr">
        <is>
          <t>Slate Ridge Trail - Paleontological Monitoring</t>
        </is>
      </c>
      <c r="C272" s="4" t="inlineStr">
        <is>
          <t>Fixed fee</t>
        </is>
      </c>
      <c r="D272" s="4" t="inlineStr">
        <is>
          <t>In Progress</t>
        </is>
      </c>
      <c r="E272" s="4" t="inlineStr">
        <is>
          <t>Donna Herring</t>
        </is>
      </c>
      <c r="F272" s="5" t="n">
        <v>7500</v>
      </c>
      <c r="G272" s="5" t="n">
        <v>5493</v>
      </c>
      <c r="H272" s="5" t="n">
        <v>5493</v>
      </c>
      <c r="I272" s="5" t="n">
        <v>0</v>
      </c>
      <c r="J272" s="5" t="n">
        <v>7500</v>
      </c>
      <c r="K272" s="6" t="n">
        <v>1</v>
      </c>
      <c r="L272" s="5" t="n">
        <v>8125.76</v>
      </c>
      <c r="M272" s="5" t="n">
        <v>-2632.76</v>
      </c>
      <c r="N272" s="6">
        <f>IF(G272=0,0,L272/G272)</f>
        <v/>
      </c>
      <c r="O272" s="5">
        <f>J272-L272</f>
        <v/>
      </c>
      <c r="P272" s="4" t="inlineStr">
        <is>
          <t>Sierra North</t>
        </is>
      </c>
    </row>
    <row r="273">
      <c r="A273" s="4" t="inlineStr">
        <is>
          <t>26-PC-41130</t>
        </is>
      </c>
      <c r="B273" s="4" t="inlineStr">
        <is>
          <t>Harbor View Highway Widening Data Recovery</t>
        </is>
      </c>
      <c r="C273" s="4" t="inlineStr">
        <is>
          <t>Time and material</t>
        </is>
      </c>
      <c r="D273" s="4" t="inlineStr">
        <is>
          <t>Cost Tracking on Closed Project</t>
        </is>
      </c>
      <c r="E273" s="4" t="inlineStr">
        <is>
          <t>Steve Rubio</t>
        </is>
      </c>
      <c r="F273" s="5" t="n">
        <v>290300</v>
      </c>
      <c r="G273" s="5" t="n">
        <v>219699.04</v>
      </c>
      <c r="H273" s="5" t="n">
        <v>219699.04</v>
      </c>
      <c r="I273" s="5" t="n">
        <v>0</v>
      </c>
      <c r="J273" s="5" t="n">
        <v>0</v>
      </c>
      <c r="K273" s="6" t="n">
        <v>0</v>
      </c>
      <c r="L273" s="5" t="n">
        <v>201136.18</v>
      </c>
      <c r="M273" s="5" t="n">
        <v>18562.86000000002</v>
      </c>
      <c r="N273" s="6">
        <f>IF(G273=0,0,L273/G273)</f>
        <v/>
      </c>
      <c r="O273" s="5">
        <f>J273-L273</f>
        <v/>
      </c>
      <c r="P273" s="4" t="inlineStr">
        <is>
          <t>Coastal Bend</t>
        </is>
      </c>
    </row>
    <row r="274">
      <c r="A274" s="4" t="inlineStr">
        <is>
          <t>26-PC-41202</t>
        </is>
      </c>
      <c r="B274" s="4" t="inlineStr">
        <is>
          <t>Quail Run Bridge Replacement Phase I Survey</t>
        </is>
      </c>
      <c r="C274" s="4" t="inlineStr">
        <is>
          <t>Fixed fee</t>
        </is>
      </c>
      <c r="D274" s="4" t="inlineStr">
        <is>
          <t>In Progress</t>
        </is>
      </c>
      <c r="E274" s="4" t="inlineStr">
        <is>
          <t>Jared Choi</t>
        </is>
      </c>
      <c r="F274" s="5" t="n">
        <v>41400</v>
      </c>
      <c r="G274" s="5" t="n">
        <v>27278.33</v>
      </c>
      <c r="H274" s="5" t="n">
        <v>19877.52</v>
      </c>
      <c r="I274" s="5" t="n">
        <v>7400.81</v>
      </c>
      <c r="J274" s="5" t="n">
        <v>41400</v>
      </c>
      <c r="K274" s="6" t="n">
        <v>1</v>
      </c>
      <c r="L274" s="5" t="n">
        <v>30232.83</v>
      </c>
      <c r="M274" s="5" t="n">
        <v>-2954.5</v>
      </c>
      <c r="N274" s="6">
        <f>IF(G274=0,0,L274/G274)</f>
        <v/>
      </c>
      <c r="O274" s="5">
        <f>J274-L274</f>
        <v/>
      </c>
      <c r="P274" s="4" t="inlineStr">
        <is>
          <t>Coastal Bend</t>
        </is>
      </c>
    </row>
    <row r="275">
      <c r="A275" s="4" t="inlineStr">
        <is>
          <t>26-PC-41661</t>
        </is>
      </c>
      <c r="B275" s="4" t="inlineStr">
        <is>
          <t>Ember Valley Levee Repair Data Recovery</t>
        </is>
      </c>
      <c r="C275" s="4" t="inlineStr">
        <is>
          <t>Fixed fee</t>
        </is>
      </c>
      <c r="D275" s="4" t="inlineStr">
        <is>
          <t>In Progress</t>
        </is>
      </c>
      <c r="E275" s="4" t="inlineStr">
        <is>
          <t>Diane Daniels</t>
        </is>
      </c>
      <c r="F275" s="5" t="n">
        <v>4800</v>
      </c>
      <c r="G275" s="5" t="n">
        <v>4028.16</v>
      </c>
      <c r="H275" s="5" t="n">
        <v>4028.16</v>
      </c>
      <c r="I275" s="5" t="n">
        <v>0</v>
      </c>
      <c r="J275" s="5" t="n">
        <v>4800</v>
      </c>
      <c r="K275" s="6" t="n">
        <v>1</v>
      </c>
      <c r="L275" s="5" t="n">
        <v>4393.64</v>
      </c>
      <c r="M275" s="5" t="n">
        <v>-365.4800000000005</v>
      </c>
      <c r="N275" s="6">
        <f>IF(G275=0,0,L275/G275)</f>
        <v/>
      </c>
      <c r="O275" s="5">
        <f>J275-L275</f>
        <v/>
      </c>
      <c r="P275" s="4" t="inlineStr">
        <is>
          <t>Coastal Bend</t>
        </is>
      </c>
    </row>
    <row r="276">
      <c r="A276" s="4" t="inlineStr">
        <is>
          <t>26-PC-42757</t>
        </is>
      </c>
      <c r="B276" s="4" t="inlineStr">
        <is>
          <t>Task Order 4: Tansy Flat Wind Farm Archaeological Testing</t>
        </is>
      </c>
      <c r="C276" s="4" t="inlineStr">
        <is>
          <t>Fixed fee</t>
        </is>
      </c>
      <c r="D276" s="4" t="inlineStr">
        <is>
          <t>In Progress</t>
        </is>
      </c>
      <c r="E276" s="4" t="inlineStr">
        <is>
          <t>Kyle Maynard</t>
        </is>
      </c>
      <c r="F276" s="5" t="n">
        <v>347000</v>
      </c>
      <c r="G276" s="5" t="n">
        <v>256363.6</v>
      </c>
      <c r="H276" s="5" t="n">
        <v>256363.6</v>
      </c>
      <c r="I276" s="5" t="n">
        <v>0</v>
      </c>
      <c r="J276" s="5" t="n">
        <v>252477.2</v>
      </c>
      <c r="K276" s="6" t="n">
        <v>0.728</v>
      </c>
      <c r="L276" s="5" t="n">
        <v>186528.08</v>
      </c>
      <c r="M276" s="5" t="n">
        <v>69835.52000000002</v>
      </c>
      <c r="N276" s="6">
        <f>IF(G276=0,0,L276/G276)</f>
        <v/>
      </c>
      <c r="O276" s="5">
        <f>J276-L276</f>
        <v/>
      </c>
      <c r="P276" s="4" t="inlineStr">
        <is>
          <t>Maritime</t>
        </is>
      </c>
    </row>
    <row r="277">
      <c r="A277" s="4" t="inlineStr">
        <is>
          <t>26-PC-43039</t>
        </is>
      </c>
      <c r="B277" s="4" t="inlineStr">
        <is>
          <t>On-Call: Foxglove Reservoir Phase I Survey</t>
        </is>
      </c>
      <c r="C277" s="4" t="inlineStr">
        <is>
          <t>Time and material</t>
        </is>
      </c>
      <c r="D277" s="4" t="inlineStr">
        <is>
          <t>Final Reporting/Review</t>
        </is>
      </c>
      <c r="E277" s="4" t="inlineStr">
        <is>
          <t>Sylvia Callahan</t>
        </is>
      </c>
      <c r="F277" s="5" t="n">
        <v>107600</v>
      </c>
      <c r="G277" s="5" t="n">
        <v>77827.42999999999</v>
      </c>
      <c r="H277" s="5" t="n">
        <v>68885.46000000001</v>
      </c>
      <c r="I277" s="5" t="n">
        <v>8941.969999999999</v>
      </c>
      <c r="J277" s="5" t="n">
        <v>107600</v>
      </c>
      <c r="K277" s="6" t="n">
        <v>1</v>
      </c>
      <c r="L277" s="5" t="n">
        <v>89098.75</v>
      </c>
      <c r="M277" s="5" t="n">
        <v>-11271.32000000001</v>
      </c>
      <c r="N277" s="6">
        <f>IF(G277=0,0,L277/G277)</f>
        <v/>
      </c>
      <c r="O277" s="5">
        <f>J277-L277</f>
        <v/>
      </c>
      <c r="P277" s="4" t="inlineStr">
        <is>
          <t>Geospatial</t>
        </is>
      </c>
    </row>
    <row r="278">
      <c r="A278" s="4" t="inlineStr">
        <is>
          <t>26-PC-43199</t>
        </is>
      </c>
      <c r="B278" s="4" t="inlineStr">
        <is>
          <t>Thistle Down Airport Apron Phase I Survey</t>
        </is>
      </c>
      <c r="C278" s="4" t="inlineStr">
        <is>
          <t>Fixed fee</t>
        </is>
      </c>
      <c r="D278" s="4" t="inlineStr">
        <is>
          <t>Cost Tracking on Closed Project</t>
        </is>
      </c>
      <c r="E278" s="4" t="inlineStr">
        <is>
          <t>Mathew Shea</t>
        </is>
      </c>
      <c r="F278" s="5" t="n">
        <v>42200</v>
      </c>
      <c r="G278" s="5" t="n">
        <v>26341.24</v>
      </c>
      <c r="H278" s="5" t="n">
        <v>26341.24</v>
      </c>
      <c r="I278" s="5" t="n">
        <v>0</v>
      </c>
      <c r="J278" s="5" t="n">
        <v>38937.94</v>
      </c>
      <c r="K278" s="6" t="n">
        <v>0.923</v>
      </c>
      <c r="L278" s="5" t="n">
        <v>24305.56</v>
      </c>
      <c r="M278" s="5" t="n">
        <v>2035.68</v>
      </c>
      <c r="N278" s="6">
        <f>IF(G278=0,0,L278/G278)</f>
        <v/>
      </c>
      <c r="O278" s="5">
        <f>J278-L278</f>
        <v/>
      </c>
      <c r="P278" s="4" t="inlineStr">
        <is>
          <t>Meridian Central</t>
        </is>
      </c>
    </row>
    <row r="279">
      <c r="A279" s="4" t="inlineStr">
        <is>
          <t>26-PC-43329</t>
        </is>
      </c>
      <c r="B279" s="4" t="inlineStr">
        <is>
          <t>Sumac Ridge Cell Tower Built Environment Survey</t>
        </is>
      </c>
      <c r="C279" s="4" t="inlineStr">
        <is>
          <t>Fixed fee</t>
        </is>
      </c>
      <c r="D279" s="4" t="inlineStr">
        <is>
          <t>In Progress</t>
        </is>
      </c>
      <c r="E279" s="4" t="inlineStr">
        <is>
          <t>Mathew Shea</t>
        </is>
      </c>
      <c r="F279" s="5" t="n">
        <v>41200</v>
      </c>
      <c r="G279" s="5" t="n">
        <v>27426.84</v>
      </c>
      <c r="H279" s="5" t="n">
        <v>27426.84</v>
      </c>
      <c r="I279" s="5" t="n">
        <v>0</v>
      </c>
      <c r="J279" s="5" t="n">
        <v>30945.32</v>
      </c>
      <c r="K279" s="6" t="n">
        <v>0.751</v>
      </c>
      <c r="L279" s="5" t="n">
        <v>20599.46</v>
      </c>
      <c r="M279" s="5" t="n">
        <v>6827.380000000001</v>
      </c>
      <c r="N279" s="6">
        <f>IF(G279=0,0,L279/G279)</f>
        <v/>
      </c>
      <c r="O279" s="5">
        <f>J279-L279</f>
        <v/>
      </c>
      <c r="P279" s="4" t="inlineStr">
        <is>
          <t>Meridian Central</t>
        </is>
      </c>
    </row>
    <row r="280">
      <c r="A280" s="4" t="inlineStr">
        <is>
          <t>26-PC-43364</t>
        </is>
      </c>
      <c r="B280" s="4" t="inlineStr">
        <is>
          <t>Goldfinch Class III Survey</t>
        </is>
      </c>
      <c r="C280" s="4" t="inlineStr">
        <is>
          <t>Fixed fee</t>
        </is>
      </c>
      <c r="D280" s="4" t="inlineStr">
        <is>
          <t>Transferred Entity</t>
        </is>
      </c>
      <c r="E280" s="4" t="inlineStr">
        <is>
          <t>Raymond Hensley</t>
        </is>
      </c>
      <c r="F280" s="5" t="n">
        <v>24900</v>
      </c>
      <c r="G280" s="5" t="n">
        <v>16624.07</v>
      </c>
      <c r="H280" s="5" t="n">
        <v>15142.4</v>
      </c>
      <c r="I280" s="5" t="n">
        <v>1481.67</v>
      </c>
      <c r="J280" s="5" t="n">
        <v>24900</v>
      </c>
      <c r="K280" s="6" t="n">
        <v>1</v>
      </c>
      <c r="L280" s="5" t="n">
        <v>22825.96</v>
      </c>
      <c r="M280" s="5" t="n">
        <v>-6201.889999999999</v>
      </c>
      <c r="N280" s="6">
        <f>IF(G280=0,0,L280/G280)</f>
        <v/>
      </c>
      <c r="O280" s="5">
        <f>J280-L280</f>
        <v/>
      </c>
      <c r="P280" s="4" t="inlineStr">
        <is>
          <t>Meridian Central</t>
        </is>
      </c>
    </row>
    <row r="281">
      <c r="A281" s="4" t="inlineStr">
        <is>
          <t>26-PC-43546</t>
        </is>
      </c>
      <c r="B281" s="4" t="inlineStr">
        <is>
          <t>Stone Mill Wastewater Plant - GIS Mapping</t>
        </is>
      </c>
      <c r="C281" s="4" t="inlineStr">
        <is>
          <t>Fixed fee</t>
        </is>
      </c>
      <c r="D281" s="4" t="inlineStr">
        <is>
          <t>In Progress</t>
        </is>
      </c>
      <c r="E281" s="4" t="inlineStr">
        <is>
          <t>Clinton Solis</t>
        </is>
      </c>
      <c r="F281" s="5" t="n">
        <v>136900</v>
      </c>
      <c r="G281" s="5" t="n">
        <v>105043.37</v>
      </c>
      <c r="H281" s="5" t="n">
        <v>105043.37</v>
      </c>
      <c r="I281" s="5" t="n">
        <v>0</v>
      </c>
      <c r="J281" s="5" t="n">
        <v>131026.99</v>
      </c>
      <c r="K281" s="6" t="n">
        <v>0.957</v>
      </c>
      <c r="L281" s="5" t="n">
        <v>100533.21</v>
      </c>
      <c r="M281" s="5" t="n">
        <v>4510.159999999989</v>
      </c>
      <c r="N281" s="6">
        <f>IF(G281=0,0,L281/G281)</f>
        <v/>
      </c>
      <c r="O281" s="5">
        <f>J281-L281</f>
        <v/>
      </c>
      <c r="P281" s="4" t="inlineStr">
        <is>
          <t>Meridian Central</t>
        </is>
      </c>
    </row>
    <row r="282">
      <c r="A282" s="4" t="inlineStr">
        <is>
          <t>26-PC-43986</t>
        </is>
      </c>
      <c r="B282" s="4" t="inlineStr">
        <is>
          <t>Sage Flat Airport Apron Architectural History Survey</t>
        </is>
      </c>
      <c r="C282" s="4" t="inlineStr">
        <is>
          <t>Time and material</t>
        </is>
      </c>
      <c r="D282" s="4" t="inlineStr">
        <is>
          <t>Transferred Entity</t>
        </is>
      </c>
      <c r="E282" s="4" t="inlineStr">
        <is>
          <t>Justin Mejia</t>
        </is>
      </c>
      <c r="F282" s="5" t="n">
        <v>220800</v>
      </c>
      <c r="G282" s="5" t="n">
        <v>146699.52</v>
      </c>
      <c r="H282" s="5" t="n">
        <v>146699.52</v>
      </c>
      <c r="I282" s="5" t="n">
        <v>0</v>
      </c>
      <c r="J282" s="5" t="n">
        <v>218771.2506666667</v>
      </c>
      <c r="K282" s="6" t="n">
        <v>0.9908118236714976</v>
      </c>
      <c r="L282" s="5" t="n">
        <v>136849.0806666667</v>
      </c>
      <c r="M282" s="5" t="n">
        <v>9850.439333333314</v>
      </c>
      <c r="N282" s="6">
        <f>IF(G282=0,0,L282/G282)</f>
        <v/>
      </c>
      <c r="O282" s="5">
        <f>J282-L282</f>
        <v/>
      </c>
      <c r="P282" s="4" t="inlineStr">
        <is>
          <t>NH Gulf (USD)</t>
        </is>
      </c>
    </row>
    <row r="283">
      <c r="A283" s="4" t="inlineStr">
        <is>
          <t>25-PC-44140</t>
        </is>
      </c>
      <c r="B283" s="4" t="inlineStr">
        <is>
          <t>Stone Mill Archaeological Testing</t>
        </is>
      </c>
      <c r="C283" s="4" t="inlineStr">
        <is>
          <t>Fixed fee</t>
        </is>
      </c>
      <c r="D283" s="4" t="inlineStr">
        <is>
          <t>In Progress</t>
        </is>
      </c>
      <c r="E283" s="4" t="inlineStr">
        <is>
          <t>Tonya Spence</t>
        </is>
      </c>
      <c r="F283" s="5" t="n">
        <v>149900</v>
      </c>
      <c r="G283" s="5" t="n">
        <v>100298.0906666667</v>
      </c>
      <c r="H283" s="5" t="n">
        <v>100298.0906666667</v>
      </c>
      <c r="I283" s="5" t="n">
        <v>0</v>
      </c>
      <c r="J283" s="5" t="n">
        <v>149510.2586666667</v>
      </c>
      <c r="K283" s="6" t="n">
        <v>0.9973999911051812</v>
      </c>
      <c r="L283" s="5" t="n">
        <v>100035.4533333333</v>
      </c>
      <c r="M283" s="5" t="n">
        <v>262.6373333333322</v>
      </c>
      <c r="N283" s="6">
        <f>IF(G283=0,0,L283/G283)</f>
        <v/>
      </c>
      <c r="O283" s="5">
        <f>J283-L283</f>
        <v/>
      </c>
      <c r="P283" s="4" t="inlineStr">
        <is>
          <t>NH Gulf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7" customWidth="1" min="3" max="3"/>
    <col width="16" customWidth="1" min="4" max="4"/>
    <col width="16" customWidth="1" min="5" max="5"/>
    <col width="22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2" customWidth="1" min="15" max="15"/>
    <col width="12" customWidth="1" min="16" max="16"/>
  </cols>
  <sheetData>
    <row r="1">
      <c r="D1" s="1" t="inlineStr">
        <is>
          <t>Summary:</t>
        </is>
      </c>
    </row>
    <row r="2">
      <c r="D2" s="7" t="inlineStr">
        <is>
          <t>Removed projects with ETC&gt;1% budget remaining</t>
        </is>
      </c>
    </row>
    <row r="3">
      <c r="D3" s="7" t="inlineStr">
        <is>
          <t>Removed $0 Contract Value projects</t>
        </is>
      </c>
    </row>
    <row r="4">
      <c r="D4" s="7" t="inlineStr">
        <is>
          <t>Removed previously identified ETC in final/reportingstatus</t>
        </is>
      </c>
    </row>
    <row r="5">
      <c r="D5" s="7" t="inlineStr">
        <is>
          <t>Removed projects in final reporting with &gt;10% budget remaining</t>
        </is>
      </c>
    </row>
    <row r="6">
      <c r="D6" s="8" t="inlineStr">
        <is>
          <t>Total: 273</t>
        </is>
      </c>
    </row>
    <row r="7"/>
    <row r="8">
      <c r="G8" s="2" t="inlineStr">
        <is>
          <t>Contract Value</t>
        </is>
      </c>
      <c r="H8" s="2" t="inlineStr">
        <is>
          <t>Revenue</t>
        </is>
      </c>
      <c r="I8" s="2" t="inlineStr">
        <is>
          <t>Invoiced Amount</t>
        </is>
      </c>
      <c r="J8" s="2" t="inlineStr">
        <is>
          <t>Total Revised Budget</t>
        </is>
      </c>
      <c r="K8" s="2" t="inlineStr">
        <is>
          <t>Total Budget</t>
        </is>
      </c>
      <c r="L8" s="2" t="inlineStr">
        <is>
          <t>Total Budget Adjustment</t>
        </is>
      </c>
      <c r="M8" s="2" t="inlineStr">
        <is>
          <t>Total Costs</t>
        </is>
      </c>
      <c r="O8" s="2" t="inlineStr">
        <is>
          <t>Recognized %</t>
        </is>
      </c>
    </row>
    <row r="9">
      <c r="G9" s="2" t="inlineStr">
        <is>
          <t>Inception To Date</t>
        </is>
      </c>
      <c r="H9" s="2" t="inlineStr">
        <is>
          <t>Inception To Date</t>
        </is>
      </c>
      <c r="I9" s="2" t="inlineStr">
        <is>
          <t>Inception To Date</t>
        </is>
      </c>
      <c r="J9" s="2" t="inlineStr">
        <is>
          <t>Orig Budget + Adjustments</t>
        </is>
      </c>
      <c r="K9" s="2" t="inlineStr">
        <is>
          <t>Original</t>
        </is>
      </c>
      <c r="L9" s="2" t="inlineStr">
        <is>
          <t>ETC</t>
        </is>
      </c>
      <c r="M9" s="2" t="inlineStr">
        <is>
          <t>Inception To Date</t>
        </is>
      </c>
      <c r="N9" s="2" t="inlineStr">
        <is>
          <t>Inception To Date</t>
        </is>
      </c>
      <c r="O9" s="2" t="inlineStr">
        <is>
          <t>REV REC %</t>
        </is>
      </c>
      <c r="P9" s="2" t="inlineStr">
        <is>
          <t>Budget Spent %</t>
        </is>
      </c>
    </row>
    <row r="10">
      <c r="G10" s="2" t="inlineStr">
        <is>
          <t>September 29, 2026</t>
        </is>
      </c>
      <c r="H10" s="2" t="inlineStr">
        <is>
          <t>September 29, 2026</t>
        </is>
      </c>
      <c r="I10" s="2" t="inlineStr">
        <is>
          <t>September 29, 2026</t>
        </is>
      </c>
      <c r="J10" s="2" t="inlineStr">
        <is>
          <t>September 29, 2026</t>
        </is>
      </c>
      <c r="K10" s="2" t="inlineStr">
        <is>
          <t>September 29, 2026</t>
        </is>
      </c>
      <c r="L10" s="2" t="inlineStr">
        <is>
          <t>September 29, 2026</t>
        </is>
      </c>
      <c r="M10" s="2" t="inlineStr">
        <is>
          <t>September 29, 2026</t>
        </is>
      </c>
      <c r="N10" s="2" t="inlineStr">
        <is>
          <t>September 29, 2026</t>
        </is>
      </c>
      <c r="O10" s="2" t="inlineStr">
        <is>
          <t>September 29, 2026</t>
        </is>
      </c>
    </row>
    <row r="11">
      <c r="A11" s="3" t="inlineStr"/>
      <c r="B11" s="3" t="inlineStr">
        <is>
          <t>Dimension name</t>
        </is>
      </c>
      <c r="C11" s="3" t="inlineStr">
        <is>
          <t>Project status</t>
        </is>
      </c>
      <c r="D11" s="3" t="inlineStr">
        <is>
          <t>Project Billing type</t>
        </is>
      </c>
      <c r="E11" s="3" t="inlineStr">
        <is>
          <t>Location Name</t>
        </is>
      </c>
      <c r="F11" s="3" t="inlineStr">
        <is>
          <t>Project Manager Name</t>
        </is>
      </c>
      <c r="G11" s="3" t="inlineStr">
        <is>
          <t>EOP</t>
        </is>
      </c>
      <c r="H11" s="3" t="inlineStr">
        <is>
          <t>Actual</t>
        </is>
      </c>
      <c r="I11" s="3" t="inlineStr">
        <is>
          <t>Actual</t>
        </is>
      </c>
      <c r="J11" s="3" t="inlineStr">
        <is>
          <t>Actual</t>
        </is>
      </c>
      <c r="K11" s="3" t="inlineStr">
        <is>
          <t>Actual</t>
        </is>
      </c>
      <c r="L11" s="3" t="inlineStr">
        <is>
          <t>Actual</t>
        </is>
      </c>
      <c r="M11" s="3" t="inlineStr">
        <is>
          <t>Actual</t>
        </is>
      </c>
      <c r="N11" s="3" t="inlineStr">
        <is>
          <t>Remaining Budget</t>
        </is>
      </c>
      <c r="O11" s="3" t="inlineStr">
        <is>
          <t>Actual</t>
        </is>
      </c>
      <c r="P11" s="3" t="inlineStr">
        <is>
          <t>Summary</t>
        </is>
      </c>
    </row>
    <row r="12">
      <c r="A12" s="4" t="inlineStr">
        <is>
          <t>23-PC-30869</t>
        </is>
      </c>
      <c r="B12" s="4" t="inlineStr">
        <is>
          <t>Lone Pine Housing Development - Paleontological Monitoring</t>
        </is>
      </c>
      <c r="C12" s="4" t="inlineStr">
        <is>
          <t>In Progress</t>
        </is>
      </c>
      <c r="D12" s="4" t="inlineStr">
        <is>
          <t>Time and material</t>
        </is>
      </c>
      <c r="E12" s="4" t="inlineStr">
        <is>
          <t>Bluegrass</t>
        </is>
      </c>
      <c r="F12" s="4" t="inlineStr">
        <is>
          <t>Kiara Gillespie</t>
        </is>
      </c>
      <c r="G12" s="5" t="n">
        <v>49800</v>
      </c>
      <c r="H12" s="5" t="n">
        <v>33864</v>
      </c>
      <c r="I12" s="5" t="n">
        <v>33864</v>
      </c>
      <c r="J12" s="5" t="n">
        <v>34501.44</v>
      </c>
      <c r="K12" s="5" t="n">
        <v>34501.44</v>
      </c>
      <c r="L12" s="5" t="n">
        <v>0</v>
      </c>
      <c r="M12" s="5" t="n">
        <v>28656.36</v>
      </c>
      <c r="N12" s="5" t="n">
        <v>5845.080000000002</v>
      </c>
      <c r="O12" s="6" t="n">
        <v>0.68</v>
      </c>
      <c r="P12" s="6" t="n">
        <v>0.8306</v>
      </c>
    </row>
    <row r="13">
      <c r="A13" s="4" t="inlineStr">
        <is>
          <t>23-PC-30881</t>
        </is>
      </c>
      <c r="B13" s="4" t="inlineStr">
        <is>
          <t>Dove Canyon Mixed-Use Development Archaeological Testing</t>
        </is>
      </c>
      <c r="C13" s="4" t="inlineStr">
        <is>
          <t>Cost Tracking on Closed Project</t>
        </is>
      </c>
      <c r="D13" s="4" t="inlineStr">
        <is>
          <t>Time and material</t>
        </is>
      </c>
      <c r="E13" s="4" t="inlineStr">
        <is>
          <t>Bluegrass</t>
        </is>
      </c>
      <c r="F13" s="4" t="inlineStr">
        <is>
          <t>Alice Galloway</t>
        </is>
      </c>
      <c r="G13" s="5" t="n">
        <v>86200</v>
      </c>
      <c r="H13" s="5" t="n">
        <v>58616</v>
      </c>
      <c r="I13" s="5" t="n">
        <v>58616</v>
      </c>
      <c r="J13" s="5" t="n">
        <v>58650.48</v>
      </c>
      <c r="K13" s="5" t="n">
        <v>58650.48</v>
      </c>
      <c r="L13" s="5" t="n">
        <v>0</v>
      </c>
      <c r="M13" s="5" t="n">
        <v>61318.15</v>
      </c>
      <c r="N13" s="5" t="n">
        <v>-2667.669999999998</v>
      </c>
      <c r="O13" s="6" t="n">
        <v>0.68</v>
      </c>
      <c r="P13" s="6" t="n">
        <v>1.0455</v>
      </c>
    </row>
    <row r="14">
      <c r="A14" s="4" t="inlineStr">
        <is>
          <t>23-PC-31003</t>
        </is>
      </c>
      <c r="B14" s="4" t="inlineStr">
        <is>
          <t>Windmill Flat Environmental Review Support</t>
        </is>
      </c>
      <c r="C14" s="4" t="inlineStr">
        <is>
          <t>In Progress</t>
        </is>
      </c>
      <c r="D14" s="4" t="inlineStr">
        <is>
          <t>Fixed fee</t>
        </is>
      </c>
      <c r="E14" s="4" t="inlineStr">
        <is>
          <t>Bluegrass</t>
        </is>
      </c>
      <c r="F14" s="4" t="inlineStr">
        <is>
          <t>Kiara Gillespie</t>
        </is>
      </c>
      <c r="G14" s="5" t="n">
        <v>19300</v>
      </c>
      <c r="H14" s="5" t="n">
        <v>15445.79</v>
      </c>
      <c r="I14" s="5" t="n">
        <v>15445.79</v>
      </c>
      <c r="J14" s="5" t="n">
        <v>10568.68</v>
      </c>
      <c r="K14" s="5" t="n">
        <v>10568.68</v>
      </c>
      <c r="L14" s="5" t="n">
        <v>0</v>
      </c>
      <c r="M14" s="5" t="n">
        <v>8458.51</v>
      </c>
      <c r="N14" s="5" t="n">
        <v>2110.17</v>
      </c>
      <c r="O14" s="6" t="n">
        <v>0.8</v>
      </c>
      <c r="P14" s="6" t="n">
        <v>0.8003</v>
      </c>
    </row>
    <row r="15">
      <c r="A15" s="4" t="inlineStr">
        <is>
          <t>23-PC-31042</t>
        </is>
      </c>
      <c r="B15" s="4" t="inlineStr">
        <is>
          <t>Stone Mill Historic Resources Evaluation</t>
        </is>
      </c>
      <c r="C15" s="4" t="inlineStr">
        <is>
          <t>In Progress</t>
        </is>
      </c>
      <c r="D15" s="4" t="inlineStr">
        <is>
          <t>Time and material</t>
        </is>
      </c>
      <c r="E15" s="4" t="inlineStr">
        <is>
          <t>Cascade</t>
        </is>
      </c>
      <c r="F15" s="4" t="inlineStr">
        <is>
          <t>Donald Lutz</t>
        </is>
      </c>
      <c r="G15" s="5" t="n">
        <v>299700</v>
      </c>
      <c r="H15" s="5" t="n">
        <v>203796</v>
      </c>
      <c r="I15" s="5" t="n">
        <v>203796</v>
      </c>
      <c r="J15" s="5" t="n">
        <v>202896.9</v>
      </c>
      <c r="K15" s="5" t="n">
        <v>202896.9</v>
      </c>
      <c r="L15" s="5" t="n">
        <v>0</v>
      </c>
      <c r="M15" s="5" t="n">
        <v>147919.88</v>
      </c>
      <c r="N15" s="5" t="n">
        <v>54977.01999999999</v>
      </c>
      <c r="O15" s="6" t="n">
        <v>0.68</v>
      </c>
      <c r="P15" s="6" t="n">
        <v>0.729</v>
      </c>
    </row>
    <row r="16">
      <c r="A16" s="4" t="inlineStr">
        <is>
          <t>23-PC-31374</t>
        </is>
      </c>
      <c r="B16" s="4" t="inlineStr">
        <is>
          <t>Juniper Wash Canal Lining Environmental Review Support</t>
        </is>
      </c>
      <c r="C16" s="4" t="inlineStr">
        <is>
          <t>In Progress</t>
        </is>
      </c>
      <c r="D16" s="4" t="inlineStr">
        <is>
          <t>Time and material</t>
        </is>
      </c>
      <c r="E16" s="4" t="inlineStr">
        <is>
          <t>Cascade</t>
        </is>
      </c>
      <c r="F16" s="4" t="inlineStr">
        <is>
          <t>Donald Lutz</t>
        </is>
      </c>
      <c r="G16" s="5" t="n">
        <v>255700</v>
      </c>
      <c r="H16" s="5" t="n">
        <v>173876</v>
      </c>
      <c r="I16" s="5" t="n">
        <v>173876</v>
      </c>
      <c r="J16" s="5" t="n">
        <v>168225.03</v>
      </c>
      <c r="K16" s="5" t="n">
        <v>168225.03</v>
      </c>
      <c r="L16" s="5" t="n">
        <v>0</v>
      </c>
      <c r="M16" s="5" t="n">
        <v>202903.45</v>
      </c>
      <c r="N16" s="5" t="n">
        <v>-34678.42000000001</v>
      </c>
      <c r="O16" s="6" t="n">
        <v>0.68</v>
      </c>
      <c r="P16" s="6" t="n">
        <v>1.2061</v>
      </c>
    </row>
    <row r="17">
      <c r="A17" s="4" t="inlineStr">
        <is>
          <t>23-PC-31405</t>
        </is>
      </c>
      <c r="B17" s="4" t="inlineStr">
        <is>
          <t>Phase II: Maple Fork Mixed-Use Development Built Environment Survey</t>
        </is>
      </c>
      <c r="C17" s="4" t="inlineStr">
        <is>
          <t>In Progress</t>
        </is>
      </c>
      <c r="D17" s="4" t="inlineStr">
        <is>
          <t>Fixed fee</t>
        </is>
      </c>
      <c r="E17" s="4" t="inlineStr">
        <is>
          <t>Cascade</t>
        </is>
      </c>
      <c r="F17" s="4" t="inlineStr">
        <is>
          <t>Jeff Spence</t>
        </is>
      </c>
      <c r="G17" s="5" t="n">
        <v>108000</v>
      </c>
      <c r="H17" s="5" t="n">
        <v>76528.8</v>
      </c>
      <c r="I17" s="5" t="n">
        <v>76528.8</v>
      </c>
      <c r="J17" s="5" t="n">
        <v>82404</v>
      </c>
      <c r="K17" s="5" t="n">
        <v>82404</v>
      </c>
      <c r="L17" s="5" t="n">
        <v>0</v>
      </c>
      <c r="M17" s="5" t="n">
        <v>58391.35</v>
      </c>
      <c r="N17" s="5" t="n">
        <v>24012.65</v>
      </c>
      <c r="O17" s="6" t="n">
        <v>0.709</v>
      </c>
      <c r="P17" s="6" t="n">
        <v>0.7086</v>
      </c>
    </row>
    <row r="18">
      <c r="A18" s="4" t="inlineStr">
        <is>
          <t>23-PC-31769</t>
        </is>
      </c>
      <c r="B18" s="4" t="inlineStr">
        <is>
          <t>Rushgrass Draw Paleontological Monitoring</t>
        </is>
      </c>
      <c r="C18" s="4" t="inlineStr">
        <is>
          <t>In Progress</t>
        </is>
      </c>
      <c r="D18" s="4" t="inlineStr">
        <is>
          <t>Fixed fee</t>
        </is>
      </c>
      <c r="E18" s="4" t="inlineStr">
        <is>
          <t>Cascade</t>
        </is>
      </c>
      <c r="F18" s="4" t="inlineStr">
        <is>
          <t>Gene Nixon</t>
        </is>
      </c>
      <c r="G18" s="5" t="n">
        <v>34800</v>
      </c>
      <c r="H18" s="5" t="n">
        <v>34800</v>
      </c>
      <c r="I18" s="5" t="n">
        <v>34800</v>
      </c>
      <c r="J18" s="5" t="n">
        <v>28779.6</v>
      </c>
      <c r="K18" s="5" t="n">
        <v>28779.6</v>
      </c>
      <c r="L18" s="5" t="n">
        <v>0</v>
      </c>
      <c r="M18" s="5" t="n">
        <v>31540.76</v>
      </c>
      <c r="N18" s="5" t="n">
        <v>-2761.16</v>
      </c>
      <c r="O18" s="6" t="n">
        <v>1</v>
      </c>
      <c r="P18" s="6" t="n">
        <v>1.0959</v>
      </c>
    </row>
    <row r="19">
      <c r="A19" s="4" t="inlineStr">
        <is>
          <t>23-PC-31812</t>
        </is>
      </c>
      <c r="B19" s="4" t="inlineStr">
        <is>
          <t>On-Call: Granite Pass Mine Expansion Phase II Testing</t>
        </is>
      </c>
      <c r="C19" s="4" t="inlineStr">
        <is>
          <t>In Progress</t>
        </is>
      </c>
      <c r="D19" s="4" t="inlineStr">
        <is>
          <t>Fixed fee</t>
        </is>
      </c>
      <c r="E19" s="4" t="inlineStr">
        <is>
          <t>Cascade</t>
        </is>
      </c>
      <c r="F19" s="4" t="inlineStr">
        <is>
          <t>Jeff Spence</t>
        </is>
      </c>
      <c r="G19" s="5" t="n">
        <v>460600</v>
      </c>
      <c r="H19" s="5" t="n">
        <v>348674.2</v>
      </c>
      <c r="I19" s="5" t="n">
        <v>348674.2</v>
      </c>
      <c r="J19" s="5" t="n">
        <v>390957.28</v>
      </c>
      <c r="K19" s="5" t="n">
        <v>390957.28</v>
      </c>
      <c r="L19" s="5" t="n">
        <v>0</v>
      </c>
      <c r="M19" s="5" t="n">
        <v>295973.9</v>
      </c>
      <c r="N19" s="5" t="n">
        <v>94983.38</v>
      </c>
      <c r="O19" s="6" t="n">
        <v>0.757</v>
      </c>
      <c r="P19" s="6" t="n">
        <v>0.757</v>
      </c>
    </row>
    <row r="20">
      <c r="A20" s="4" t="inlineStr">
        <is>
          <t>23-PC-31844</t>
        </is>
      </c>
      <c r="B20" s="4" t="inlineStr">
        <is>
          <t>Task Order 37: Sea Oat Water Main Archaeological Testing</t>
        </is>
      </c>
      <c r="C20" s="4" t="inlineStr">
        <is>
          <t>Cost Tracking on Closed Project</t>
        </is>
      </c>
      <c r="D20" s="4" t="inlineStr">
        <is>
          <t>Fixed fee</t>
        </is>
      </c>
      <c r="E20" s="4" t="inlineStr">
        <is>
          <t>Cascade</t>
        </is>
      </c>
      <c r="F20" s="4" t="inlineStr">
        <is>
          <t>Jeff Spence</t>
        </is>
      </c>
      <c r="G20" s="5" t="n">
        <v>175300</v>
      </c>
      <c r="H20" s="5" t="n">
        <v>175300</v>
      </c>
      <c r="I20" s="5" t="n">
        <v>175300</v>
      </c>
      <c r="J20" s="5" t="n">
        <v>93481.00999999999</v>
      </c>
      <c r="K20" s="5" t="n">
        <v>71376.84</v>
      </c>
      <c r="L20" s="5" t="n">
        <v>22104.17</v>
      </c>
      <c r="M20" s="5" t="n">
        <v>112759.17</v>
      </c>
      <c r="N20" s="5" t="n">
        <v>-19278.16</v>
      </c>
      <c r="O20" s="6" t="n">
        <v>1</v>
      </c>
      <c r="P20" s="6" t="n">
        <v>1.2062</v>
      </c>
    </row>
    <row r="21">
      <c r="A21" s="4" t="inlineStr">
        <is>
          <t>23-PC-32329</t>
        </is>
      </c>
      <c r="B21" s="4" t="inlineStr">
        <is>
          <t>Rushgrass Draw Historic Resources Evaluation</t>
        </is>
      </c>
      <c r="C21" s="4" t="inlineStr">
        <is>
          <t>In Progress</t>
        </is>
      </c>
      <c r="D21" s="4" t="inlineStr">
        <is>
          <t>Fixed fee</t>
        </is>
      </c>
      <c r="E21" s="4" t="inlineStr">
        <is>
          <t>Chesapeake</t>
        </is>
      </c>
      <c r="F21" s="4" t="inlineStr">
        <is>
          <t>Sandy Kerr</t>
        </is>
      </c>
      <c r="G21" s="5" t="n">
        <v>149100</v>
      </c>
      <c r="H21" s="5" t="n">
        <v>132892.83</v>
      </c>
      <c r="I21" s="5" t="n">
        <v>132892.83</v>
      </c>
      <c r="J21" s="5" t="n">
        <v>111109.32</v>
      </c>
      <c r="K21" s="5" t="n">
        <v>111109.32</v>
      </c>
      <c r="L21" s="5" t="n">
        <v>0</v>
      </c>
      <c r="M21" s="5" t="n">
        <v>99032.78</v>
      </c>
      <c r="N21" s="5" t="n">
        <v>12076.54000000001</v>
      </c>
      <c r="O21" s="6" t="n">
        <v>0.891</v>
      </c>
      <c r="P21" s="6" t="n">
        <v>0.8913</v>
      </c>
    </row>
    <row r="22">
      <c r="A22" s="4" t="inlineStr">
        <is>
          <t>23-PC-32635</t>
        </is>
      </c>
      <c r="B22" s="4" t="inlineStr">
        <is>
          <t>Rushgrass Draw Curation</t>
        </is>
      </c>
      <c r="C22" s="4" t="inlineStr">
        <is>
          <t>Cost Tracking on Closed Project</t>
        </is>
      </c>
      <c r="D22" s="4" t="inlineStr">
        <is>
          <t>Time and material</t>
        </is>
      </c>
      <c r="E22" s="4" t="inlineStr">
        <is>
          <t>Chesapeake</t>
        </is>
      </c>
      <c r="F22" s="4" t="inlineStr">
        <is>
          <t>Jason Oconnor</t>
        </is>
      </c>
      <c r="G22" s="5" t="n">
        <v>36800</v>
      </c>
      <c r="H22" s="5" t="n">
        <v>25024</v>
      </c>
      <c r="I22" s="5" t="n">
        <v>25024</v>
      </c>
      <c r="J22" s="5" t="n">
        <v>24644.96</v>
      </c>
      <c r="K22" s="5" t="n">
        <v>24644.96</v>
      </c>
      <c r="L22" s="5" t="n">
        <v>0</v>
      </c>
      <c r="M22" s="5" t="n">
        <v>27323.95</v>
      </c>
      <c r="N22" s="5" t="n">
        <v>-2678.990000000002</v>
      </c>
      <c r="O22" s="6" t="n">
        <v>0.68</v>
      </c>
      <c r="P22" s="6" t="n">
        <v>1.1087</v>
      </c>
    </row>
    <row r="23">
      <c r="A23" s="4" t="inlineStr">
        <is>
          <t>23-PC-33070</t>
        </is>
      </c>
      <c r="B23" s="4" t="inlineStr">
        <is>
          <t>Meadowlark Curation</t>
        </is>
      </c>
      <c r="C23" s="4" t="inlineStr">
        <is>
          <t>In Progress</t>
        </is>
      </c>
      <c r="D23" s="4" t="inlineStr">
        <is>
          <t>Fixed fee</t>
        </is>
      </c>
      <c r="E23" s="4" t="inlineStr">
        <is>
          <t>Front Range</t>
        </is>
      </c>
      <c r="F23" s="4" t="inlineStr">
        <is>
          <t>Reginald Vargas</t>
        </is>
      </c>
      <c r="G23" s="5" t="n">
        <v>55100</v>
      </c>
      <c r="H23" s="5" t="n">
        <v>46377.67</v>
      </c>
      <c r="I23" s="5" t="n">
        <v>46377.67</v>
      </c>
      <c r="J23" s="5" t="n">
        <v>34299.75</v>
      </c>
      <c r="K23" s="5" t="n">
        <v>34299.75</v>
      </c>
      <c r="L23" s="5" t="n">
        <v>0</v>
      </c>
      <c r="M23" s="5" t="n">
        <v>28871.53</v>
      </c>
      <c r="N23" s="5" t="n">
        <v>5428.220000000001</v>
      </c>
      <c r="O23" s="6" t="n">
        <v>0.842</v>
      </c>
      <c r="P23" s="6" t="n">
        <v>0.8417</v>
      </c>
    </row>
    <row r="24">
      <c r="A24" s="4" t="inlineStr">
        <is>
          <t>23-PC-33151</t>
        </is>
      </c>
      <c r="B24" s="4" t="inlineStr">
        <is>
          <t>Sandpiper Class III Survey</t>
        </is>
      </c>
      <c r="C24" s="4" t="inlineStr">
        <is>
          <t>In Progress</t>
        </is>
      </c>
      <c r="D24" s="4" t="inlineStr">
        <is>
          <t>Fixed fee</t>
        </is>
      </c>
      <c r="E24" s="4" t="inlineStr">
        <is>
          <t>Front Range</t>
        </is>
      </c>
      <c r="F24" s="4" t="inlineStr">
        <is>
          <t>Kimberly Daugherty</t>
        </is>
      </c>
      <c r="G24" s="5" t="n">
        <v>637100</v>
      </c>
      <c r="H24" s="5" t="n">
        <v>540961.61</v>
      </c>
      <c r="I24" s="5" t="n">
        <v>540961.61</v>
      </c>
      <c r="J24" s="5" t="n">
        <v>497638.81</v>
      </c>
      <c r="K24" s="5" t="n">
        <v>497638.81</v>
      </c>
      <c r="L24" s="5" t="n">
        <v>0</v>
      </c>
      <c r="M24" s="5" t="n">
        <v>422546.87</v>
      </c>
      <c r="N24" s="5" t="n">
        <v>75091.94</v>
      </c>
      <c r="O24" s="6" t="n">
        <v>0.849</v>
      </c>
      <c r="P24" s="6" t="n">
        <v>0.8491</v>
      </c>
    </row>
    <row r="25">
      <c r="A25" s="4" t="inlineStr">
        <is>
          <t>23-PC-33553</t>
        </is>
      </c>
      <c r="B25" s="4" t="inlineStr">
        <is>
          <t>Phase III: Yarrow Point Reservoir Archaeological Testing</t>
        </is>
      </c>
      <c r="C25" s="4" t="inlineStr">
        <is>
          <t>In Progress</t>
        </is>
      </c>
      <c r="D25" s="4" t="inlineStr">
        <is>
          <t>Fixed fee</t>
        </is>
      </c>
      <c r="E25" s="4" t="inlineStr">
        <is>
          <t>Front Range</t>
        </is>
      </c>
      <c r="F25" s="4" t="inlineStr">
        <is>
          <t>Kimberly Daugherty</t>
        </is>
      </c>
      <c r="G25" s="5" t="n">
        <v>21600</v>
      </c>
      <c r="H25" s="5" t="n">
        <v>21600</v>
      </c>
      <c r="I25" s="5" t="n">
        <v>21600</v>
      </c>
      <c r="J25" s="5" t="n">
        <v>15245.28</v>
      </c>
      <c r="K25" s="5" t="n">
        <v>15245.28</v>
      </c>
      <c r="L25" s="5" t="n">
        <v>0</v>
      </c>
      <c r="M25" s="5" t="n">
        <v>16551.79</v>
      </c>
      <c r="N25" s="5" t="n">
        <v>-1306.51</v>
      </c>
      <c r="O25" s="6" t="n">
        <v>1</v>
      </c>
      <c r="P25" s="6" t="n">
        <v>1.0857</v>
      </c>
    </row>
    <row r="26">
      <c r="A26" s="4" t="inlineStr">
        <is>
          <t>23-PC-33879</t>
        </is>
      </c>
      <c r="B26" s="4" t="inlineStr">
        <is>
          <t>Phase III: Twin Buttes Canal Lining GIS Mapping</t>
        </is>
      </c>
      <c r="C26" s="4" t="inlineStr">
        <is>
          <t>In Progress</t>
        </is>
      </c>
      <c r="D26" s="4" t="inlineStr">
        <is>
          <t>Time and material</t>
        </is>
      </c>
      <c r="E26" s="4" t="inlineStr">
        <is>
          <t>Great Lakes</t>
        </is>
      </c>
      <c r="F26" s="4" t="inlineStr">
        <is>
          <t>Jeff Pugh</t>
        </is>
      </c>
      <c r="G26" s="5" t="n">
        <v>300600</v>
      </c>
      <c r="H26" s="5" t="n">
        <v>204408</v>
      </c>
      <c r="I26" s="5" t="n">
        <v>204408</v>
      </c>
      <c r="J26" s="5" t="n">
        <v>219257.64</v>
      </c>
      <c r="K26" s="5" t="n">
        <v>219257.64</v>
      </c>
      <c r="L26" s="5" t="n">
        <v>0</v>
      </c>
      <c r="M26" s="5" t="n">
        <v>176674.59</v>
      </c>
      <c r="N26" s="5" t="n">
        <v>42583.05000000002</v>
      </c>
      <c r="O26" s="6" t="n">
        <v>0.68</v>
      </c>
      <c r="P26" s="6" t="n">
        <v>0.8058</v>
      </c>
    </row>
    <row r="27">
      <c r="A27" s="4" t="inlineStr">
        <is>
          <t>23-PC-34353</t>
        </is>
      </c>
      <c r="B27" s="4" t="inlineStr">
        <is>
          <t>Cedar Hollow Levee Repair Phase II Testing</t>
        </is>
      </c>
      <c r="C27" s="4" t="inlineStr">
        <is>
          <t>In Progress</t>
        </is>
      </c>
      <c r="D27" s="4" t="inlineStr">
        <is>
          <t>Time and material</t>
        </is>
      </c>
      <c r="E27" s="4" t="inlineStr">
        <is>
          <t>Great Lakes</t>
        </is>
      </c>
      <c r="F27" s="4" t="inlineStr">
        <is>
          <t>Kathleen Galvan</t>
        </is>
      </c>
      <c r="G27" s="5" t="n">
        <v>373100</v>
      </c>
      <c r="H27" s="5" t="n">
        <v>253708</v>
      </c>
      <c r="I27" s="5" t="n">
        <v>253708</v>
      </c>
      <c r="J27" s="5" t="n">
        <v>247626.47</v>
      </c>
      <c r="K27" s="5" t="n">
        <v>247626.47</v>
      </c>
      <c r="L27" s="5" t="n">
        <v>0</v>
      </c>
      <c r="M27" s="5" t="n">
        <v>184659.6</v>
      </c>
      <c r="N27" s="5" t="n">
        <v>62966.87</v>
      </c>
      <c r="O27" s="6" t="n">
        <v>0.68</v>
      </c>
      <c r="P27" s="6" t="n">
        <v>0.7457</v>
      </c>
    </row>
    <row r="28">
      <c r="A28" s="4" t="inlineStr">
        <is>
          <t>23-PC-34403</t>
        </is>
      </c>
      <c r="B28" s="4" t="inlineStr">
        <is>
          <t>Plover Cove Built Environment Survey</t>
        </is>
      </c>
      <c r="C28" s="4" t="inlineStr">
        <is>
          <t>In Progress</t>
        </is>
      </c>
      <c r="D28" s="4" t="inlineStr">
        <is>
          <t>Time and material</t>
        </is>
      </c>
      <c r="E28" s="4" t="inlineStr">
        <is>
          <t>Great Lakes</t>
        </is>
      </c>
      <c r="F28" s="4" t="inlineStr">
        <is>
          <t>Kathleen Galvan</t>
        </is>
      </c>
      <c r="G28" s="5" t="n">
        <v>46200</v>
      </c>
      <c r="H28" s="5" t="n">
        <v>31416</v>
      </c>
      <c r="I28" s="5" t="n">
        <v>31416</v>
      </c>
      <c r="J28" s="5" t="n">
        <v>30187.08</v>
      </c>
      <c r="K28" s="5" t="n">
        <v>30187.08</v>
      </c>
      <c r="L28" s="5" t="n">
        <v>0</v>
      </c>
      <c r="M28" s="5" t="n">
        <v>23628.2</v>
      </c>
      <c r="N28" s="5" t="n">
        <v>6558.880000000001</v>
      </c>
      <c r="O28" s="6" t="n">
        <v>0.68</v>
      </c>
      <c r="P28" s="6" t="n">
        <v>0.7827</v>
      </c>
    </row>
    <row r="29">
      <c r="A29" s="4" t="inlineStr">
        <is>
          <t>23-PC-34440</t>
        </is>
      </c>
      <c r="B29" s="4" t="inlineStr">
        <is>
          <t>Dove Canyon Bridge Replacement - Phase II Testing</t>
        </is>
      </c>
      <c r="C29" s="4" t="inlineStr">
        <is>
          <t>In Progress</t>
        </is>
      </c>
      <c r="D29" s="4" t="inlineStr">
        <is>
          <t>Fixed fee</t>
        </is>
      </c>
      <c r="E29" s="4" t="inlineStr">
        <is>
          <t>Great Lakes</t>
        </is>
      </c>
      <c r="F29" s="4" t="inlineStr">
        <is>
          <t>Angelica Cervantes</t>
        </is>
      </c>
      <c r="G29" s="5" t="n">
        <v>477000</v>
      </c>
      <c r="H29" s="5" t="n">
        <v>347303.7</v>
      </c>
      <c r="I29" s="5" t="n">
        <v>347303.7</v>
      </c>
      <c r="J29" s="5" t="n">
        <v>333756.9</v>
      </c>
      <c r="K29" s="5" t="n">
        <v>333756.9</v>
      </c>
      <c r="L29" s="5" t="n">
        <v>0</v>
      </c>
      <c r="M29" s="5" t="n">
        <v>243019.93</v>
      </c>
      <c r="N29" s="5" t="n">
        <v>90736.97000000003</v>
      </c>
      <c r="O29" s="6" t="n">
        <v>0.728</v>
      </c>
      <c r="P29" s="6" t="n">
        <v>0.7281</v>
      </c>
    </row>
    <row r="30">
      <c r="A30" s="4" t="inlineStr">
        <is>
          <t>23-PC-34510</t>
        </is>
      </c>
      <c r="B30" s="4" t="inlineStr">
        <is>
          <t>Millbrook Mixed-Use Development Class III Survey</t>
        </is>
      </c>
      <c r="C30" s="4" t="inlineStr">
        <is>
          <t>Final Reporting/Review</t>
        </is>
      </c>
      <c r="D30" s="4" t="inlineStr">
        <is>
          <t>Time and material</t>
        </is>
      </c>
      <c r="E30" s="4" t="inlineStr">
        <is>
          <t>Great Lakes</t>
        </is>
      </c>
      <c r="F30" s="4" t="inlineStr">
        <is>
          <t>Geoffrey Fernandez</t>
        </is>
      </c>
      <c r="G30" s="5" t="n">
        <v>70000</v>
      </c>
      <c r="H30" s="5" t="n">
        <v>47600</v>
      </c>
      <c r="I30" s="5" t="n">
        <v>47600</v>
      </c>
      <c r="J30" s="5" t="n">
        <v>50246</v>
      </c>
      <c r="K30" s="5" t="n">
        <v>50246</v>
      </c>
      <c r="L30" s="5" t="n">
        <v>0</v>
      </c>
      <c r="M30" s="5" t="n">
        <v>45814.41</v>
      </c>
      <c r="N30" s="5" t="n">
        <v>4431.589999999997</v>
      </c>
      <c r="O30" s="6" t="n">
        <v>0.68</v>
      </c>
      <c r="P30" s="6" t="n">
        <v>0.9118000000000001</v>
      </c>
    </row>
    <row r="31">
      <c r="A31" s="4" t="inlineStr">
        <is>
          <t>23-PC-34789</t>
        </is>
      </c>
      <c r="B31" s="4" t="inlineStr">
        <is>
          <t>On-Call: Sea Oat Cell Tower Historic Resources Evaluation</t>
        </is>
      </c>
      <c r="C31" s="4" t="inlineStr">
        <is>
          <t>In Progress</t>
        </is>
      </c>
      <c r="D31" s="4" t="inlineStr">
        <is>
          <t>Fixed fee</t>
        </is>
      </c>
      <c r="E31" s="4" t="inlineStr">
        <is>
          <t>Gulf Coast</t>
        </is>
      </c>
      <c r="F31" s="4" t="inlineStr">
        <is>
          <t>Sean Jennings</t>
        </is>
      </c>
      <c r="G31" s="5" t="n">
        <v>46100</v>
      </c>
      <c r="H31" s="5" t="n">
        <v>32472.84</v>
      </c>
      <c r="I31" s="5" t="n">
        <v>32472.84</v>
      </c>
      <c r="J31" s="5" t="n">
        <v>31721.41</v>
      </c>
      <c r="K31" s="5" t="n">
        <v>31721.41</v>
      </c>
      <c r="L31" s="5" t="n">
        <v>0</v>
      </c>
      <c r="M31" s="5" t="n">
        <v>22343.25</v>
      </c>
      <c r="N31" s="5" t="n">
        <v>9378.16</v>
      </c>
      <c r="O31" s="6" t="n">
        <v>0.704</v>
      </c>
      <c r="P31" s="6" t="n">
        <v>0.7044</v>
      </c>
    </row>
    <row r="32">
      <c r="A32" s="4" t="inlineStr">
        <is>
          <t>23-PC-35225</t>
        </is>
      </c>
      <c r="B32" s="4" t="inlineStr">
        <is>
          <t>Tansy Flat Rail Siding - Archaeological Testing</t>
        </is>
      </c>
      <c r="C32" s="4" t="inlineStr">
        <is>
          <t>In Progress</t>
        </is>
      </c>
      <c r="D32" s="4" t="inlineStr">
        <is>
          <t>Fixed fee</t>
        </is>
      </c>
      <c r="E32" s="4" t="inlineStr">
        <is>
          <t>Gulf Coast East</t>
        </is>
      </c>
      <c r="F32" s="4" t="inlineStr">
        <is>
          <t>Wyatt Erickson</t>
        </is>
      </c>
      <c r="G32" s="5" t="n">
        <v>407900</v>
      </c>
      <c r="H32" s="5" t="n">
        <v>303355.23</v>
      </c>
      <c r="I32" s="5" t="n">
        <v>303355.23</v>
      </c>
      <c r="J32" s="5" t="n">
        <v>321139.67</v>
      </c>
      <c r="K32" s="5" t="n">
        <v>321139.67</v>
      </c>
      <c r="L32" s="5" t="n">
        <v>0</v>
      </c>
      <c r="M32" s="5" t="n">
        <v>238828.33</v>
      </c>
      <c r="N32" s="5" t="n">
        <v>82311.34</v>
      </c>
      <c r="O32" s="6" t="n">
        <v>0.744</v>
      </c>
      <c r="P32" s="6" t="n">
        <v>0.7437</v>
      </c>
    </row>
    <row r="33">
      <c r="A33" s="4" t="inlineStr">
        <is>
          <t>23-PC-35486</t>
        </is>
      </c>
      <c r="B33" s="4" t="inlineStr">
        <is>
          <t>On-Call: Saltgrass Airport Apron Maritime Remote Sensing Survey</t>
        </is>
      </c>
      <c r="C33" s="4" t="inlineStr">
        <is>
          <t>In Progress</t>
        </is>
      </c>
      <c r="D33" s="4" t="inlineStr">
        <is>
          <t>Time and material</t>
        </is>
      </c>
      <c r="E33" s="4" t="inlineStr">
        <is>
          <t>High Desert</t>
        </is>
      </c>
      <c r="F33" s="4" t="inlineStr">
        <is>
          <t>Jody Wang</t>
        </is>
      </c>
      <c r="G33" s="5" t="n">
        <v>116200</v>
      </c>
      <c r="H33" s="5" t="n">
        <v>79016</v>
      </c>
      <c r="I33" s="5" t="n">
        <v>79016</v>
      </c>
      <c r="J33" s="5" t="n">
        <v>87219.72</v>
      </c>
      <c r="K33" s="5" t="n">
        <v>87219.72</v>
      </c>
      <c r="L33" s="5" t="n">
        <v>0</v>
      </c>
      <c r="M33" s="5" t="n">
        <v>78190.34</v>
      </c>
      <c r="N33" s="5" t="n">
        <v>9029.380000000005</v>
      </c>
      <c r="O33" s="6" t="n">
        <v>0.68</v>
      </c>
      <c r="P33" s="6" t="n">
        <v>0.8965</v>
      </c>
    </row>
    <row r="34">
      <c r="A34" s="4" t="inlineStr">
        <is>
          <t>23-PC-35533</t>
        </is>
      </c>
      <c r="B34" s="4" t="inlineStr">
        <is>
          <t>Task Order 19: Granite Pass Reservoir Section 106 Consultation</t>
        </is>
      </c>
      <c r="C34" s="4" t="inlineStr">
        <is>
          <t>In Progress</t>
        </is>
      </c>
      <c r="D34" s="4" t="inlineStr">
        <is>
          <t>Fixed fee</t>
        </is>
      </c>
      <c r="E34" s="4" t="inlineStr">
        <is>
          <t>High Desert</t>
        </is>
      </c>
      <c r="F34" s="4" t="inlineStr">
        <is>
          <t>Eileen Poole</t>
        </is>
      </c>
      <c r="G34" s="5" t="n">
        <v>11400</v>
      </c>
      <c r="H34" s="5" t="n">
        <v>8681.1</v>
      </c>
      <c r="I34" s="5" t="n">
        <v>8681.1</v>
      </c>
      <c r="J34" s="5" t="n">
        <v>8206.860000000001</v>
      </c>
      <c r="K34" s="5" t="n">
        <v>8206.860000000001</v>
      </c>
      <c r="L34" s="5" t="n">
        <v>0</v>
      </c>
      <c r="M34" s="5" t="n">
        <v>6249.46</v>
      </c>
      <c r="N34" s="5" t="n">
        <v>1957.400000000001</v>
      </c>
      <c r="O34" s="6" t="n">
        <v>0.762</v>
      </c>
      <c r="P34" s="6" t="n">
        <v>0.7615</v>
      </c>
    </row>
    <row r="35">
      <c r="A35" s="4" t="inlineStr">
        <is>
          <t>23-PC-35682</t>
        </is>
      </c>
      <c r="B35" s="4" t="inlineStr">
        <is>
          <t>Lantern Bay Class III Survey</t>
        </is>
      </c>
      <c r="C35" s="4" t="inlineStr">
        <is>
          <t>In Progress</t>
        </is>
      </c>
      <c r="D35" s="4" t="inlineStr">
        <is>
          <t>Fixed fee</t>
        </is>
      </c>
      <c r="E35" s="4" t="inlineStr">
        <is>
          <t>High Desert</t>
        </is>
      </c>
      <c r="F35" s="4" t="inlineStr">
        <is>
          <t>Eileen Poole</t>
        </is>
      </c>
      <c r="G35" s="5" t="n">
        <v>290400</v>
      </c>
      <c r="H35" s="5" t="n">
        <v>277361.04</v>
      </c>
      <c r="I35" s="5" t="n">
        <v>277361.04</v>
      </c>
      <c r="J35" s="5" t="n">
        <v>252938.4</v>
      </c>
      <c r="K35" s="5" t="n">
        <v>252938.4</v>
      </c>
      <c r="L35" s="5" t="n">
        <v>0</v>
      </c>
      <c r="M35" s="5" t="n">
        <v>241578.4</v>
      </c>
      <c r="N35" s="5" t="n">
        <v>11360</v>
      </c>
      <c r="O35" s="6" t="n">
        <v>0.955</v>
      </c>
      <c r="P35" s="6" t="n">
        <v>0.9550999999999999</v>
      </c>
    </row>
    <row r="36">
      <c r="A36" s="4" t="inlineStr">
        <is>
          <t>23-PC-36063</t>
        </is>
      </c>
      <c r="B36" s="4" t="inlineStr">
        <is>
          <t>Plover Cove Mine Expansion - Phase II Testing</t>
        </is>
      </c>
      <c r="C36" s="4" t="inlineStr">
        <is>
          <t>In Progress</t>
        </is>
      </c>
      <c r="D36" s="4" t="inlineStr">
        <is>
          <t>Fixed fee</t>
        </is>
      </c>
      <c r="E36" s="4" t="inlineStr">
        <is>
          <t>High Desert</t>
        </is>
      </c>
      <c r="F36" s="4" t="inlineStr">
        <is>
          <t>Kathy Hurley</t>
        </is>
      </c>
      <c r="G36" s="5" t="n">
        <v>114600</v>
      </c>
      <c r="H36" s="5" t="n">
        <v>104870.46</v>
      </c>
      <c r="I36" s="5" t="n">
        <v>104870.46</v>
      </c>
      <c r="J36" s="5" t="n">
        <v>77893.62</v>
      </c>
      <c r="K36" s="5" t="n">
        <v>77893.62</v>
      </c>
      <c r="L36" s="5" t="n">
        <v>0</v>
      </c>
      <c r="M36" s="5" t="n">
        <v>71277.07000000001</v>
      </c>
      <c r="N36" s="5" t="n">
        <v>6616.549999999988</v>
      </c>
      <c r="O36" s="6" t="n">
        <v>0.915</v>
      </c>
      <c r="P36" s="6" t="n">
        <v>0.9151</v>
      </c>
    </row>
    <row r="37">
      <c r="A37" s="4" t="inlineStr">
        <is>
          <t>23-PC-36422</t>
        </is>
      </c>
      <c r="B37" s="4" t="inlineStr">
        <is>
          <t>Hawk Point Phase I Survey</t>
        </is>
      </c>
      <c r="C37" s="4" t="inlineStr">
        <is>
          <t>In Progress</t>
        </is>
      </c>
      <c r="D37" s="4" t="inlineStr">
        <is>
          <t>Time and material</t>
        </is>
      </c>
      <c r="E37" s="4" t="inlineStr">
        <is>
          <t>Island</t>
        </is>
      </c>
      <c r="F37" s="4" t="inlineStr">
        <is>
          <t>Joan Mathis</t>
        </is>
      </c>
      <c r="G37" s="5" t="n">
        <v>50700</v>
      </c>
      <c r="H37" s="5" t="n">
        <v>34476</v>
      </c>
      <c r="I37" s="5" t="n">
        <v>34476</v>
      </c>
      <c r="J37" s="5" t="n">
        <v>36579.06</v>
      </c>
      <c r="K37" s="5" t="n">
        <v>32790.93</v>
      </c>
      <c r="L37" s="5" t="n">
        <v>3788.13</v>
      </c>
      <c r="M37" s="5" t="n">
        <v>37409.59</v>
      </c>
      <c r="N37" s="5" t="n">
        <v>-830.5299999999988</v>
      </c>
      <c r="O37" s="6" t="n">
        <v>0.68</v>
      </c>
      <c r="P37" s="6" t="n">
        <v>1.0227</v>
      </c>
    </row>
    <row r="38">
      <c r="A38" s="4" t="inlineStr">
        <is>
          <t>23-PC-36687</t>
        </is>
      </c>
      <c r="B38" s="4" t="inlineStr">
        <is>
          <t>On-Call: Pine Hollow Transmission Line Environmental Review Support</t>
        </is>
      </c>
      <c r="C38" s="4" t="inlineStr">
        <is>
          <t>In Progress</t>
        </is>
      </c>
      <c r="D38" s="4" t="inlineStr">
        <is>
          <t>Fixed fee</t>
        </is>
      </c>
      <c r="E38" s="4" t="inlineStr">
        <is>
          <t>Lakeshore</t>
        </is>
      </c>
      <c r="F38" s="4" t="inlineStr">
        <is>
          <t>Jeanette Riddle</t>
        </is>
      </c>
      <c r="G38" s="5" t="n">
        <v>201000</v>
      </c>
      <c r="H38" s="5" t="n">
        <v>170226.9</v>
      </c>
      <c r="I38" s="5" t="n">
        <v>170226.9</v>
      </c>
      <c r="J38" s="5" t="n">
        <v>151513.8</v>
      </c>
      <c r="K38" s="5" t="n">
        <v>151513.8</v>
      </c>
      <c r="L38" s="5" t="n">
        <v>0</v>
      </c>
      <c r="M38" s="5" t="n">
        <v>128322.24</v>
      </c>
      <c r="N38" s="5" t="n">
        <v>23191.55999999998</v>
      </c>
      <c r="O38" s="6" t="n">
        <v>0.847</v>
      </c>
      <c r="P38" s="6" t="n">
        <v>0.8469</v>
      </c>
    </row>
    <row r="39">
      <c r="A39" s="4" t="inlineStr">
        <is>
          <t>23-PC-36734</t>
        </is>
      </c>
      <c r="B39" s="4" t="inlineStr">
        <is>
          <t>Raven Rock Curation</t>
        </is>
      </c>
      <c r="C39" s="4" t="inlineStr">
        <is>
          <t>In Progress</t>
        </is>
      </c>
      <c r="D39" s="4" t="inlineStr">
        <is>
          <t>Fixed fee</t>
        </is>
      </c>
      <c r="E39" s="4" t="inlineStr">
        <is>
          <t>Lakeshore</t>
        </is>
      </c>
      <c r="F39" s="4" t="inlineStr">
        <is>
          <t>Terrence Gillespie</t>
        </is>
      </c>
      <c r="G39" s="5" t="n">
        <v>38600</v>
      </c>
      <c r="H39" s="5" t="n">
        <v>36284</v>
      </c>
      <c r="I39" s="5" t="n">
        <v>36284</v>
      </c>
      <c r="J39" s="5" t="n">
        <v>27753.4</v>
      </c>
      <c r="K39" s="5" t="n">
        <v>27753.4</v>
      </c>
      <c r="L39" s="5" t="n">
        <v>0</v>
      </c>
      <c r="M39" s="5" t="n">
        <v>26089.14</v>
      </c>
      <c r="N39" s="5" t="n">
        <v>1664.260000000002</v>
      </c>
      <c r="O39" s="6" t="n">
        <v>0.9399999999999999</v>
      </c>
      <c r="P39" s="6" t="n">
        <v>0.9399999999999999</v>
      </c>
    </row>
    <row r="40">
      <c r="A40" s="4" t="inlineStr">
        <is>
          <t>23-PC-37568</t>
        </is>
      </c>
      <c r="B40" s="4" t="inlineStr">
        <is>
          <t>On-Call: Eagle Bend Housing Development Data Recovery</t>
        </is>
      </c>
      <c r="C40" s="4" t="inlineStr">
        <is>
          <t>In Progress</t>
        </is>
      </c>
      <c r="D40" s="4" t="inlineStr">
        <is>
          <t>Fixed fee</t>
        </is>
      </c>
      <c r="E40" s="4" t="inlineStr">
        <is>
          <t>Piedmont - Inactive</t>
        </is>
      </c>
      <c r="F40" s="4" t="inlineStr">
        <is>
          <t>Maria Parrish</t>
        </is>
      </c>
      <c r="G40" s="5" t="n">
        <v>44500</v>
      </c>
      <c r="H40" s="5" t="n">
        <v>31902.05</v>
      </c>
      <c r="I40" s="5" t="n">
        <v>31902.05</v>
      </c>
      <c r="J40" s="5" t="n">
        <v>35070.45</v>
      </c>
      <c r="K40" s="5" t="n">
        <v>35070.45</v>
      </c>
      <c r="L40" s="5" t="n">
        <v>0</v>
      </c>
      <c r="M40" s="5" t="n">
        <v>25141.75</v>
      </c>
      <c r="N40" s="5" t="n">
        <v>9928.699999999997</v>
      </c>
      <c r="O40" s="6" t="n">
        <v>0.717</v>
      </c>
      <c r="P40" s="6" t="n">
        <v>0.7169</v>
      </c>
    </row>
    <row r="41">
      <c r="A41" s="4" t="inlineStr">
        <is>
          <t>23-PC-38231</t>
        </is>
      </c>
      <c r="B41" s="4" t="inlineStr">
        <is>
          <t>On-Call: Copper Flats Rail Siding Curation</t>
        </is>
      </c>
      <c r="C41" s="4" t="inlineStr">
        <is>
          <t>In Progress</t>
        </is>
      </c>
      <c r="D41" s="4" t="inlineStr">
        <is>
          <t>Time and material</t>
        </is>
      </c>
      <c r="E41" s="4" t="inlineStr">
        <is>
          <t>Prairie</t>
        </is>
      </c>
      <c r="F41" s="4" t="inlineStr">
        <is>
          <t>Sherry Lloyd</t>
        </is>
      </c>
      <c r="G41" s="5" t="n">
        <v>128200</v>
      </c>
      <c r="H41" s="5" t="n">
        <v>87176</v>
      </c>
      <c r="I41" s="5" t="n">
        <v>87176</v>
      </c>
      <c r="J41" s="5" t="n">
        <v>90073.32000000001</v>
      </c>
      <c r="K41" s="5" t="n">
        <v>90073.32000000001</v>
      </c>
      <c r="L41" s="5" t="n">
        <v>0</v>
      </c>
      <c r="M41" s="5" t="n">
        <v>73724.08</v>
      </c>
      <c r="N41" s="5" t="n">
        <v>16349.24000000001</v>
      </c>
      <c r="O41" s="6" t="n">
        <v>0.68</v>
      </c>
      <c r="P41" s="6" t="n">
        <v>0.8185</v>
      </c>
    </row>
    <row r="42">
      <c r="A42" s="4" t="inlineStr">
        <is>
          <t>23-PC-38246</t>
        </is>
      </c>
      <c r="B42" s="4" t="inlineStr">
        <is>
          <t>Maple Fork Rail Siding - Maritime Remote Sensing Survey</t>
        </is>
      </c>
      <c r="C42" s="4" t="inlineStr">
        <is>
          <t>In Progress</t>
        </is>
      </c>
      <c r="D42" s="4" t="inlineStr">
        <is>
          <t>Fixed fee</t>
        </is>
      </c>
      <c r="E42" s="4" t="inlineStr">
        <is>
          <t>Prairie</t>
        </is>
      </c>
      <c r="F42" s="4" t="inlineStr">
        <is>
          <t>Sherry Lloyd</t>
        </is>
      </c>
      <c r="G42" s="5" t="n">
        <v>79800</v>
      </c>
      <c r="H42" s="5" t="n">
        <v>57918.84</v>
      </c>
      <c r="I42" s="5" t="n">
        <v>57918.84</v>
      </c>
      <c r="J42" s="5" t="n">
        <v>53434.08</v>
      </c>
      <c r="K42" s="5" t="n">
        <v>53434.08</v>
      </c>
      <c r="L42" s="5" t="n">
        <v>0</v>
      </c>
      <c r="M42" s="5" t="n">
        <v>38783.48</v>
      </c>
      <c r="N42" s="5" t="n">
        <v>14650.6</v>
      </c>
      <c r="O42" s="6" t="n">
        <v>0.726</v>
      </c>
      <c r="P42" s="6" t="n">
        <v>0.7258</v>
      </c>
    </row>
    <row r="43">
      <c r="A43" s="4" t="inlineStr">
        <is>
          <t>23-PC-38498</t>
        </is>
      </c>
      <c r="B43" s="4" t="inlineStr">
        <is>
          <t>Tansy Flat Wind Farm Built Environment Survey</t>
        </is>
      </c>
      <c r="C43" s="4" t="inlineStr">
        <is>
          <t>In Progress</t>
        </is>
      </c>
      <c r="D43" s="4" t="inlineStr">
        <is>
          <t>Fixed fee</t>
        </is>
      </c>
      <c r="E43" s="4" t="inlineStr">
        <is>
          <t>Red Rock</t>
        </is>
      </c>
      <c r="F43" s="4" t="inlineStr">
        <is>
          <t>Shelia Horne</t>
        </is>
      </c>
      <c r="G43" s="5" t="n">
        <v>67700</v>
      </c>
      <c r="H43" s="5" t="n">
        <v>56556.58</v>
      </c>
      <c r="I43" s="5" t="n">
        <v>56556.58</v>
      </c>
      <c r="J43" s="5" t="n">
        <v>44688.77</v>
      </c>
      <c r="K43" s="5" t="n">
        <v>44688.77</v>
      </c>
      <c r="L43" s="5" t="n">
        <v>0</v>
      </c>
      <c r="M43" s="5" t="n">
        <v>37332.05</v>
      </c>
      <c r="N43" s="5" t="n">
        <v>7356.719999999994</v>
      </c>
      <c r="O43" s="6" t="n">
        <v>0.835</v>
      </c>
      <c r="P43" s="6" t="n">
        <v>0.8354</v>
      </c>
    </row>
    <row r="44">
      <c r="A44" s="4" t="inlineStr">
        <is>
          <t>23-PC-38759</t>
        </is>
      </c>
      <c r="B44" s="4" t="inlineStr">
        <is>
          <t>Saltgrass Cultural Resources Assessment</t>
        </is>
      </c>
      <c r="C44" s="4" t="inlineStr">
        <is>
          <t>Cost Tracking on Closed Project</t>
        </is>
      </c>
      <c r="D44" s="4" t="inlineStr">
        <is>
          <t>Time and material</t>
        </is>
      </c>
      <c r="E44" s="4" t="inlineStr">
        <is>
          <t>Red Rock</t>
        </is>
      </c>
      <c r="F44" s="4" t="inlineStr">
        <is>
          <t>Tina Aguirre</t>
        </is>
      </c>
      <c r="G44" s="5" t="n">
        <v>52400</v>
      </c>
      <c r="H44" s="5" t="n">
        <v>35632</v>
      </c>
      <c r="I44" s="5" t="n">
        <v>35632</v>
      </c>
      <c r="J44" s="5" t="n">
        <v>36847.68</v>
      </c>
      <c r="K44" s="5" t="n">
        <v>36847.68</v>
      </c>
      <c r="L44" s="5" t="n">
        <v>0</v>
      </c>
      <c r="M44" s="5" t="n">
        <v>40372.44</v>
      </c>
      <c r="N44" s="5" t="n">
        <v>-3524.760000000002</v>
      </c>
      <c r="O44" s="6" t="n">
        <v>0.68</v>
      </c>
      <c r="P44" s="6" t="n">
        <v>1.0957</v>
      </c>
    </row>
    <row r="45">
      <c r="A45" s="4" t="inlineStr">
        <is>
          <t>23-PC-38849</t>
        </is>
      </c>
      <c r="B45" s="4" t="inlineStr">
        <is>
          <t>Phase III: Copper Flats Levee Repair Curation</t>
        </is>
      </c>
      <c r="C45" s="4" t="inlineStr">
        <is>
          <t>In Progress</t>
        </is>
      </c>
      <c r="D45" s="4" t="inlineStr">
        <is>
          <t>Fixed fee</t>
        </is>
      </c>
      <c r="E45" s="4" t="inlineStr">
        <is>
          <t>Red Rock</t>
        </is>
      </c>
      <c r="F45" s="4" t="inlineStr">
        <is>
          <t>Tina Aguirre</t>
        </is>
      </c>
      <c r="G45" s="5" t="n">
        <v>109400</v>
      </c>
      <c r="H45" s="5" t="n">
        <v>86962.06</v>
      </c>
      <c r="I45" s="5" t="n">
        <v>86962.06</v>
      </c>
      <c r="J45" s="5" t="n">
        <v>83089.3</v>
      </c>
      <c r="K45" s="5" t="n">
        <v>83089.3</v>
      </c>
      <c r="L45" s="5" t="n">
        <v>0</v>
      </c>
      <c r="M45" s="5" t="n">
        <v>66048.24000000001</v>
      </c>
      <c r="N45" s="5" t="n">
        <v>17041.06</v>
      </c>
      <c r="O45" s="6" t="n">
        <v>0.795</v>
      </c>
      <c r="P45" s="6" t="n">
        <v>0.7949000000000001</v>
      </c>
    </row>
    <row r="46">
      <c r="A46" s="4" t="inlineStr">
        <is>
          <t>23-PC-39135</t>
        </is>
      </c>
      <c r="B46" s="4" t="inlineStr">
        <is>
          <t>Phase I: Oak Terrace Reservoir Archaeological Testing</t>
        </is>
      </c>
      <c r="C46" s="4" t="inlineStr">
        <is>
          <t>In Progress</t>
        </is>
      </c>
      <c r="D46" s="4" t="inlineStr">
        <is>
          <t>Fixed fee</t>
        </is>
      </c>
      <c r="E46" s="4" t="inlineStr">
        <is>
          <t>Red Rock</t>
        </is>
      </c>
      <c r="F46" s="4" t="inlineStr">
        <is>
          <t>Jeanette Chung</t>
        </is>
      </c>
      <c r="G46" s="5" t="n">
        <v>27800</v>
      </c>
      <c r="H46" s="5" t="n">
        <v>20777.72</v>
      </c>
      <c r="I46" s="5" t="n">
        <v>20777.72</v>
      </c>
      <c r="J46" s="5" t="n">
        <v>18214.56</v>
      </c>
      <c r="K46" s="5" t="n">
        <v>18214.56</v>
      </c>
      <c r="L46" s="5" t="n">
        <v>0</v>
      </c>
      <c r="M46" s="5" t="n">
        <v>13614.39</v>
      </c>
      <c r="N46" s="5" t="n">
        <v>4600.170000000002</v>
      </c>
      <c r="O46" s="6" t="n">
        <v>0.747</v>
      </c>
      <c r="P46" s="6" t="n">
        <v>0.7474</v>
      </c>
    </row>
    <row r="47">
      <c r="A47" s="4" t="inlineStr">
        <is>
          <t>23-PC-39323</t>
        </is>
      </c>
      <c r="B47" s="4" t="inlineStr">
        <is>
          <t>Silver Lake Battery Storage Class III Survey</t>
        </is>
      </c>
      <c r="C47" s="4" t="inlineStr">
        <is>
          <t>In Progress</t>
        </is>
      </c>
      <c r="D47" s="4" t="inlineStr">
        <is>
          <t>Fixed fee</t>
        </is>
      </c>
      <c r="E47" s="4" t="inlineStr">
        <is>
          <t>Red Rock</t>
        </is>
      </c>
      <c r="F47" s="4" t="inlineStr">
        <is>
          <t>Tina Aguirre</t>
        </is>
      </c>
      <c r="G47" s="5" t="n">
        <v>550600</v>
      </c>
      <c r="H47" s="5" t="n">
        <v>423136.1</v>
      </c>
      <c r="I47" s="5" t="n">
        <v>423136.1</v>
      </c>
      <c r="J47" s="5" t="n">
        <v>444994.92</v>
      </c>
      <c r="K47" s="5" t="n">
        <v>444994.92</v>
      </c>
      <c r="L47" s="5" t="n">
        <v>0</v>
      </c>
      <c r="M47" s="5" t="n">
        <v>341994.21</v>
      </c>
      <c r="N47" s="5" t="n">
        <v>103000.71</v>
      </c>
      <c r="O47" s="6" t="n">
        <v>0.768</v>
      </c>
      <c r="P47" s="6" t="n">
        <v>0.7685</v>
      </c>
    </row>
    <row r="48">
      <c r="A48" s="4" t="inlineStr">
        <is>
          <t>23-PC-40052</t>
        </is>
      </c>
      <c r="B48" s="4" t="inlineStr">
        <is>
          <t>Oak Terrace Transmission Line Cultural Resources Monitoring</t>
        </is>
      </c>
      <c r="C48" s="4" t="inlineStr">
        <is>
          <t>In Progress</t>
        </is>
      </c>
      <c r="D48" s="4" t="inlineStr">
        <is>
          <t>Time and material</t>
        </is>
      </c>
      <c r="E48" s="4" t="inlineStr">
        <is>
          <t>Red Rock</t>
        </is>
      </c>
      <c r="F48" s="4" t="inlineStr">
        <is>
          <t>Javier Newman</t>
        </is>
      </c>
      <c r="G48" s="5" t="n">
        <v>119500</v>
      </c>
      <c r="H48" s="5" t="n">
        <v>103480.5</v>
      </c>
      <c r="I48" s="5" t="n">
        <v>103480.5</v>
      </c>
      <c r="J48" s="5" t="n">
        <v>80196.45</v>
      </c>
      <c r="K48" s="5" t="n">
        <v>80196.45</v>
      </c>
      <c r="L48" s="5" t="n">
        <v>0</v>
      </c>
      <c r="M48" s="5" t="n">
        <v>70430.41</v>
      </c>
      <c r="N48" s="5" t="n">
        <v>9766.039999999994</v>
      </c>
      <c r="O48" s="6" t="n">
        <v>0.866</v>
      </c>
      <c r="P48" s="6" t="n">
        <v>0.8782</v>
      </c>
    </row>
    <row r="49">
      <c r="A49" s="4" t="inlineStr">
        <is>
          <t>23-PC-40402</t>
        </is>
      </c>
      <c r="B49" s="4" t="inlineStr">
        <is>
          <t>Pebble Beach Road Architectural History Survey</t>
        </is>
      </c>
      <c r="C49" s="4" t="inlineStr">
        <is>
          <t>In Progress</t>
        </is>
      </c>
      <c r="D49" s="4" t="inlineStr">
        <is>
          <t>Fixed fee</t>
        </is>
      </c>
      <c r="E49" s="4" t="inlineStr">
        <is>
          <t>Sierra North</t>
        </is>
      </c>
      <c r="F49" s="4" t="inlineStr">
        <is>
          <t>Louis Huff</t>
        </is>
      </c>
      <c r="G49" s="5" t="n">
        <v>411600</v>
      </c>
      <c r="H49" s="5" t="n">
        <v>333190.2</v>
      </c>
      <c r="I49" s="5" t="n">
        <v>333190.2</v>
      </c>
      <c r="J49" s="5" t="n">
        <v>302937.6</v>
      </c>
      <c r="K49" s="5" t="n">
        <v>302937.6</v>
      </c>
      <c r="L49" s="5" t="n">
        <v>0</v>
      </c>
      <c r="M49" s="5" t="n">
        <v>245232.54</v>
      </c>
      <c r="N49" s="5" t="n">
        <v>57705.05999999997</v>
      </c>
      <c r="O49" s="6" t="n">
        <v>0.8090000000000001</v>
      </c>
      <c r="P49" s="6" t="n">
        <v>0.8095</v>
      </c>
    </row>
    <row r="50">
      <c r="A50" s="4" t="inlineStr">
        <is>
          <t>23-PC-40469</t>
        </is>
      </c>
      <c r="B50" s="4" t="inlineStr">
        <is>
          <t>On-Call: Badger Hollow School Campus Built Environment Survey</t>
        </is>
      </c>
      <c r="C50" s="4" t="inlineStr">
        <is>
          <t>In Progress</t>
        </is>
      </c>
      <c r="D50" s="4" t="inlineStr">
        <is>
          <t>Fixed fee</t>
        </is>
      </c>
      <c r="E50" s="4" t="inlineStr">
        <is>
          <t>Sierra South</t>
        </is>
      </c>
      <c r="F50" s="4" t="inlineStr">
        <is>
          <t>Benjamin Mathis</t>
        </is>
      </c>
      <c r="G50" s="5" t="n">
        <v>53900</v>
      </c>
      <c r="H50" s="5" t="n">
        <v>38516.94</v>
      </c>
      <c r="I50" s="5" t="n">
        <v>38516.94</v>
      </c>
      <c r="J50" s="5" t="n">
        <v>40910.1</v>
      </c>
      <c r="K50" s="5" t="n">
        <v>40910.1</v>
      </c>
      <c r="L50" s="5" t="n">
        <v>0</v>
      </c>
      <c r="M50" s="5" t="n">
        <v>29233.55</v>
      </c>
      <c r="N50" s="5" t="n">
        <v>11676.55</v>
      </c>
      <c r="O50" s="6" t="n">
        <v>0.715</v>
      </c>
      <c r="P50" s="6" t="n">
        <v>0.7146</v>
      </c>
    </row>
    <row r="51">
      <c r="A51" s="4" t="inlineStr">
        <is>
          <t>23-PC-40537</t>
        </is>
      </c>
      <c r="B51" s="4" t="inlineStr">
        <is>
          <t>Phase I: Tamarack Airport Apron Section 106 Consultation</t>
        </is>
      </c>
      <c r="C51" s="4" t="inlineStr">
        <is>
          <t>Lab/Curation</t>
        </is>
      </c>
      <c r="D51" s="4" t="inlineStr">
        <is>
          <t>Fixed fee</t>
        </is>
      </c>
      <c r="E51" s="4" t="inlineStr">
        <is>
          <t>Sierra</t>
        </is>
      </c>
      <c r="F51" s="4" t="inlineStr">
        <is>
          <t>Louis Huff</t>
        </is>
      </c>
      <c r="G51" s="5" t="n">
        <v>76500</v>
      </c>
      <c r="H51" s="5" t="n">
        <v>76500</v>
      </c>
      <c r="I51" s="5" t="n">
        <v>76500</v>
      </c>
      <c r="J51" s="5" t="n">
        <v>58746.94</v>
      </c>
      <c r="K51" s="5" t="n">
        <v>55119.6</v>
      </c>
      <c r="L51" s="5" t="n">
        <v>3627.34</v>
      </c>
      <c r="M51" s="5" t="n">
        <v>63236.56</v>
      </c>
      <c r="N51" s="5" t="n">
        <v>-4489.619999999995</v>
      </c>
      <c r="O51" s="6" t="n">
        <v>1</v>
      </c>
      <c r="P51" s="6" t="n">
        <v>1.0764</v>
      </c>
    </row>
    <row r="52">
      <c r="A52" s="4" t="inlineStr">
        <is>
          <t>23-PC-41134</t>
        </is>
      </c>
      <c r="B52" s="4" t="inlineStr">
        <is>
          <t>Creosote Draw Park Improvements Class III Survey</t>
        </is>
      </c>
      <c r="C52" s="4" t="inlineStr">
        <is>
          <t>In Progress</t>
        </is>
      </c>
      <c r="D52" s="4" t="inlineStr">
        <is>
          <t>Time and material</t>
        </is>
      </c>
      <c r="E52" s="4" t="inlineStr">
        <is>
          <t>Coastal Bend</t>
        </is>
      </c>
      <c r="F52" s="4" t="inlineStr">
        <is>
          <t>Steve Rubio</t>
        </is>
      </c>
      <c r="G52" s="5" t="n">
        <v>56300</v>
      </c>
      <c r="H52" s="5" t="n">
        <v>38284</v>
      </c>
      <c r="I52" s="5" t="n">
        <v>38284</v>
      </c>
      <c r="J52" s="5" t="n">
        <v>42714.81</v>
      </c>
      <c r="K52" s="5" t="n">
        <v>42714.81</v>
      </c>
      <c r="L52" s="5" t="n">
        <v>0</v>
      </c>
      <c r="M52" s="5" t="n">
        <v>47948.89</v>
      </c>
      <c r="N52" s="5" t="n">
        <v>-5234.080000000002</v>
      </c>
      <c r="O52" s="6" t="n">
        <v>0.68</v>
      </c>
      <c r="P52" s="6" t="n">
        <v>1.1225</v>
      </c>
    </row>
    <row r="53">
      <c r="A53" s="4" t="inlineStr">
        <is>
          <t>23-PC-41207</t>
        </is>
      </c>
      <c r="B53" s="4" t="inlineStr">
        <is>
          <t>Goldfinch Maritime Remote Sensing Survey</t>
        </is>
      </c>
      <c r="C53" s="4" t="inlineStr">
        <is>
          <t>In Progress</t>
        </is>
      </c>
      <c r="D53" s="4" t="inlineStr">
        <is>
          <t>Fixed fee</t>
        </is>
      </c>
      <c r="E53" s="4" t="inlineStr">
        <is>
          <t>Coastal Bend</t>
        </is>
      </c>
      <c r="F53" s="4" t="inlineStr">
        <is>
          <t>Jared Choi</t>
        </is>
      </c>
      <c r="G53" s="5" t="n">
        <v>33100</v>
      </c>
      <c r="H53" s="5" t="n">
        <v>24874.65</v>
      </c>
      <c r="I53" s="5" t="n">
        <v>24874.65</v>
      </c>
      <c r="J53" s="5" t="n">
        <v>29128</v>
      </c>
      <c r="K53" s="5" t="n">
        <v>29128</v>
      </c>
      <c r="L53" s="5" t="n">
        <v>0</v>
      </c>
      <c r="M53" s="5" t="n">
        <v>21890.46</v>
      </c>
      <c r="N53" s="5" t="n">
        <v>7237.540000000001</v>
      </c>
      <c r="O53" s="6" t="n">
        <v>0.751</v>
      </c>
      <c r="P53" s="6" t="n">
        <v>0.7514999999999999</v>
      </c>
    </row>
    <row r="54">
      <c r="A54" s="4" t="inlineStr">
        <is>
          <t>23-PC-41285</t>
        </is>
      </c>
      <c r="B54" s="4" t="inlineStr">
        <is>
          <t>Phase III: Ember Valley Park Improvements Data Recovery</t>
        </is>
      </c>
      <c r="C54" s="4" t="inlineStr">
        <is>
          <t>Cost Tracking on Closed Project</t>
        </is>
      </c>
      <c r="D54" s="4" t="inlineStr">
        <is>
          <t>Fixed fee</t>
        </is>
      </c>
      <c r="E54" s="4" t="inlineStr">
        <is>
          <t>Coastal Bend</t>
        </is>
      </c>
      <c r="F54" s="4" t="inlineStr">
        <is>
          <t>Diane Daniels</t>
        </is>
      </c>
      <c r="G54" s="5" t="n">
        <v>349600</v>
      </c>
      <c r="H54" s="5" t="n">
        <v>349600</v>
      </c>
      <c r="I54" s="5" t="n">
        <v>349600</v>
      </c>
      <c r="J54" s="5" t="n">
        <v>221087.04</v>
      </c>
      <c r="K54" s="5" t="n">
        <v>221087.04</v>
      </c>
      <c r="L54" s="5" t="n">
        <v>0</v>
      </c>
      <c r="M54" s="5" t="n">
        <v>229204.35</v>
      </c>
      <c r="N54" s="5" t="n">
        <v>-8117.309999999998</v>
      </c>
      <c r="O54" s="6" t="n">
        <v>1</v>
      </c>
      <c r="P54" s="6" t="n">
        <v>1.0367</v>
      </c>
    </row>
    <row r="55">
      <c r="A55" s="4" t="inlineStr">
        <is>
          <t>23-PC-41424</t>
        </is>
      </c>
      <c r="B55" s="4" t="inlineStr">
        <is>
          <t>Harbor View Park Improvements - Cultural Resources Assessment</t>
        </is>
      </c>
      <c r="C55" s="4" t="inlineStr">
        <is>
          <t>Transferred Entity</t>
        </is>
      </c>
      <c r="D55" s="4" t="inlineStr">
        <is>
          <t>Fixed fee</t>
        </is>
      </c>
      <c r="E55" s="4" t="inlineStr">
        <is>
          <t>Coastal Bend</t>
        </is>
      </c>
      <c r="F55" s="4" t="inlineStr">
        <is>
          <t>Duane Ballard</t>
        </is>
      </c>
      <c r="G55" s="5" t="n">
        <v>132000</v>
      </c>
      <c r="H55" s="5" t="n">
        <v>92584.8</v>
      </c>
      <c r="I55" s="5" t="n">
        <v>92584.8</v>
      </c>
      <c r="J55" s="5" t="n">
        <v>108108</v>
      </c>
      <c r="K55" s="5" t="n">
        <v>108108</v>
      </c>
      <c r="L55" s="5" t="n">
        <v>0</v>
      </c>
      <c r="M55" s="5" t="n">
        <v>75830.35000000001</v>
      </c>
      <c r="N55" s="5" t="n">
        <v>32277.64999999999</v>
      </c>
      <c r="O55" s="6" t="n">
        <v>0.701</v>
      </c>
      <c r="P55" s="6" t="n">
        <v>0.7014</v>
      </c>
    </row>
    <row r="56">
      <c r="A56" s="4" t="inlineStr">
        <is>
          <t>23-PC-41602</t>
        </is>
      </c>
      <c r="B56" s="4" t="inlineStr">
        <is>
          <t>Wren Hollow Cultural Resources Monitoring</t>
        </is>
      </c>
      <c r="C56" s="4" t="inlineStr">
        <is>
          <t>Lab/Curation</t>
        </is>
      </c>
      <c r="D56" s="4" t="inlineStr">
        <is>
          <t>Fixed fee</t>
        </is>
      </c>
      <c r="E56" s="4" t="inlineStr">
        <is>
          <t>Coastal Bend</t>
        </is>
      </c>
      <c r="F56" s="4" t="inlineStr">
        <is>
          <t>Alexis Nixon</t>
        </is>
      </c>
      <c r="G56" s="5" t="n">
        <v>755000</v>
      </c>
      <c r="H56" s="5" t="n">
        <v>705170</v>
      </c>
      <c r="I56" s="5" t="n">
        <v>705170</v>
      </c>
      <c r="J56" s="5" t="n">
        <v>444695</v>
      </c>
      <c r="K56" s="5" t="n">
        <v>444695</v>
      </c>
      <c r="L56" s="5" t="n">
        <v>0</v>
      </c>
      <c r="M56" s="5" t="n">
        <v>415325.46</v>
      </c>
      <c r="N56" s="5" t="n">
        <v>29369.53999999998</v>
      </c>
      <c r="O56" s="6" t="n">
        <v>0.9340000000000001</v>
      </c>
      <c r="P56" s="6" t="n">
        <v>0.9340000000000001</v>
      </c>
    </row>
    <row r="57">
      <c r="A57" s="4" t="inlineStr">
        <is>
          <t>23-PC-41613</t>
        </is>
      </c>
      <c r="B57" s="4" t="inlineStr">
        <is>
          <t>Tamarack School Campus Archaeological Testing</t>
        </is>
      </c>
      <c r="C57" s="4" t="inlineStr">
        <is>
          <t>In Progress</t>
        </is>
      </c>
      <c r="D57" s="4" t="inlineStr">
        <is>
          <t>Fixed fee</t>
        </is>
      </c>
      <c r="E57" s="4" t="inlineStr">
        <is>
          <t>Coastal Bend</t>
        </is>
      </c>
      <c r="F57" s="4" t="inlineStr">
        <is>
          <t>Steve Rubio</t>
        </is>
      </c>
      <c r="G57" s="5" t="n">
        <v>151900</v>
      </c>
      <c r="H57" s="5" t="n">
        <v>128659.3</v>
      </c>
      <c r="I57" s="5" t="n">
        <v>128659.3</v>
      </c>
      <c r="J57" s="5" t="n">
        <v>105099.61</v>
      </c>
      <c r="K57" s="5" t="n">
        <v>105099.61</v>
      </c>
      <c r="L57" s="5" t="n">
        <v>0</v>
      </c>
      <c r="M57" s="5" t="n">
        <v>89014.21000000001</v>
      </c>
      <c r="N57" s="5" t="n">
        <v>16085.39999999999</v>
      </c>
      <c r="O57" s="6" t="n">
        <v>0.847</v>
      </c>
      <c r="P57" s="6" t="n">
        <v>0.847</v>
      </c>
    </row>
    <row r="58">
      <c r="A58" s="4" t="inlineStr">
        <is>
          <t>23-PC-41897</t>
        </is>
      </c>
      <c r="B58" s="4" t="inlineStr">
        <is>
          <t>Elk Meadow Fiber Route Archaeological Testing</t>
        </is>
      </c>
      <c r="C58" s="4" t="inlineStr">
        <is>
          <t>In Progress</t>
        </is>
      </c>
      <c r="D58" s="4" t="inlineStr">
        <is>
          <t>Time and material</t>
        </is>
      </c>
      <c r="E58" s="4" t="inlineStr">
        <is>
          <t>Built Environment</t>
        </is>
      </c>
      <c r="F58" s="4" t="inlineStr">
        <is>
          <t>Jesse Maynard</t>
        </is>
      </c>
      <c r="G58" s="5" t="n">
        <v>18800</v>
      </c>
      <c r="H58" s="5" t="n">
        <v>12784</v>
      </c>
      <c r="I58" s="5" t="n">
        <v>12784</v>
      </c>
      <c r="J58" s="5" t="n">
        <v>12705.04</v>
      </c>
      <c r="K58" s="5" t="n">
        <v>12705.04</v>
      </c>
      <c r="L58" s="5" t="n">
        <v>0</v>
      </c>
      <c r="M58" s="5" t="n">
        <v>12736.47</v>
      </c>
      <c r="N58" s="5" t="n">
        <v>-31.42999999999847</v>
      </c>
      <c r="O58" s="6" t="n">
        <v>0.68</v>
      </c>
      <c r="P58" s="6" t="n">
        <v>1.0025</v>
      </c>
    </row>
    <row r="59">
      <c r="A59" s="4" t="inlineStr">
        <is>
          <t>23-PC-42771</t>
        </is>
      </c>
      <c r="B59" s="4" t="inlineStr">
        <is>
          <t>Redbud Housing Development GIS Mapping</t>
        </is>
      </c>
      <c r="C59" s="4" t="inlineStr">
        <is>
          <t>In Progress</t>
        </is>
      </c>
      <c r="D59" s="4" t="inlineStr">
        <is>
          <t>Fixed fee</t>
        </is>
      </c>
      <c r="E59" s="4" t="inlineStr">
        <is>
          <t>Maritime</t>
        </is>
      </c>
      <c r="F59" s="4" t="inlineStr">
        <is>
          <t>Kyle Maynard</t>
        </is>
      </c>
      <c r="G59" s="5" t="n">
        <v>25200</v>
      </c>
      <c r="H59" s="5" t="n">
        <v>19124.28</v>
      </c>
      <c r="I59" s="5" t="n">
        <v>19124.28</v>
      </c>
      <c r="J59" s="5" t="n">
        <v>18799.2</v>
      </c>
      <c r="K59" s="5" t="n">
        <v>18799.2</v>
      </c>
      <c r="L59" s="5" t="n">
        <v>0</v>
      </c>
      <c r="M59" s="5" t="n">
        <v>14265.92</v>
      </c>
      <c r="N59" s="5" t="n">
        <v>4533.280000000001</v>
      </c>
      <c r="O59" s="6" t="n">
        <v>0.759</v>
      </c>
      <c r="P59" s="6" t="n">
        <v>0.7589</v>
      </c>
    </row>
    <row r="60">
      <c r="A60" s="4" t="inlineStr">
        <is>
          <t>23-PC-42981</t>
        </is>
      </c>
      <c r="B60" s="4" t="inlineStr">
        <is>
          <t>Hawk Point Architectural History Survey</t>
        </is>
      </c>
      <c r="C60" s="4" t="inlineStr">
        <is>
          <t>In Progress</t>
        </is>
      </c>
      <c r="D60" s="4" t="inlineStr">
        <is>
          <t>Fixed fee</t>
        </is>
      </c>
      <c r="E60" s="4" t="inlineStr">
        <is>
          <t>Maritime</t>
        </is>
      </c>
      <c r="F60" s="4" t="inlineStr">
        <is>
          <t>Kyle Maynard</t>
        </is>
      </c>
      <c r="G60" s="5" t="n">
        <v>175800</v>
      </c>
      <c r="H60" s="5" t="n">
        <v>133203.66</v>
      </c>
      <c r="I60" s="5" t="n">
        <v>133203.66</v>
      </c>
      <c r="J60" s="5" t="n">
        <v>129494.28</v>
      </c>
      <c r="K60" s="5" t="n">
        <v>129494.28</v>
      </c>
      <c r="L60" s="5" t="n">
        <v>0</v>
      </c>
      <c r="M60" s="5" t="n">
        <v>98123.53999999999</v>
      </c>
      <c r="N60" s="5" t="n">
        <v>31370.74000000001</v>
      </c>
      <c r="O60" s="6" t="n">
        <v>0.758</v>
      </c>
      <c r="P60" s="6" t="n">
        <v>0.7577</v>
      </c>
    </row>
    <row r="61">
      <c r="A61" s="4" t="inlineStr">
        <is>
          <t>23-PC-43008</t>
        </is>
      </c>
      <c r="B61" s="4" t="inlineStr">
        <is>
          <t>Sea Oat Mixed-Use Development - Cultural Resources Monitoring</t>
        </is>
      </c>
      <c r="C61" s="4" t="inlineStr">
        <is>
          <t>In Progress</t>
        </is>
      </c>
      <c r="D61" s="4" t="inlineStr">
        <is>
          <t>Time and material</t>
        </is>
      </c>
      <c r="E61" s="4" t="inlineStr">
        <is>
          <t>Maritime</t>
        </is>
      </c>
      <c r="F61" s="4" t="inlineStr">
        <is>
          <t>Rita Ayala</t>
        </is>
      </c>
      <c r="G61" s="5" t="n">
        <v>139700</v>
      </c>
      <c r="H61" s="5" t="n">
        <v>94996</v>
      </c>
      <c r="I61" s="5" t="n">
        <v>94996</v>
      </c>
      <c r="J61" s="5" t="n">
        <v>93543.12</v>
      </c>
      <c r="K61" s="5" t="n">
        <v>93543.12</v>
      </c>
      <c r="L61" s="5" t="n">
        <v>0</v>
      </c>
      <c r="M61" s="5" t="n">
        <v>67047.92999999999</v>
      </c>
      <c r="N61" s="5" t="n">
        <v>26495.19</v>
      </c>
      <c r="O61" s="6" t="n">
        <v>0.68</v>
      </c>
      <c r="P61" s="6" t="n">
        <v>0.7168</v>
      </c>
    </row>
    <row r="62">
      <c r="A62" s="4" t="inlineStr">
        <is>
          <t>23-PC-43158</t>
        </is>
      </c>
      <c r="B62" s="4" t="inlineStr">
        <is>
          <t>Twin Buttes Wind Farm - Archaeological Testing</t>
        </is>
      </c>
      <c r="C62" s="4" t="inlineStr">
        <is>
          <t>In Progress</t>
        </is>
      </c>
      <c r="D62" s="4" t="inlineStr">
        <is>
          <t>Fixed fee</t>
        </is>
      </c>
      <c r="E62" s="4" t="inlineStr">
        <is>
          <t>Geospatial</t>
        </is>
      </c>
      <c r="F62" s="4" t="inlineStr">
        <is>
          <t>Priscilla Pennington</t>
        </is>
      </c>
      <c r="G62" s="5" t="n">
        <v>73300</v>
      </c>
      <c r="H62" s="5" t="n">
        <v>66563.73</v>
      </c>
      <c r="I62" s="5" t="n">
        <v>66563.73</v>
      </c>
      <c r="J62" s="5" t="n">
        <v>53362.4</v>
      </c>
      <c r="K62" s="5" t="n">
        <v>53362.4</v>
      </c>
      <c r="L62" s="5" t="n">
        <v>0</v>
      </c>
      <c r="M62" s="5" t="n">
        <v>48458.95</v>
      </c>
      <c r="N62" s="5" t="n">
        <v>4903.450000000004</v>
      </c>
      <c r="O62" s="6" t="n">
        <v>0.908</v>
      </c>
      <c r="P62" s="6" t="n">
        <v>0.9081</v>
      </c>
    </row>
    <row r="63">
      <c r="A63" s="4" t="inlineStr">
        <is>
          <t>23-PC-43692</t>
        </is>
      </c>
      <c r="B63" s="4" t="inlineStr">
        <is>
          <t>Riverbend Levee Repair - Cultural Resources Monitoring</t>
        </is>
      </c>
      <c r="C63" s="4" t="inlineStr">
        <is>
          <t>In Progress</t>
        </is>
      </c>
      <c r="D63" s="4" t="inlineStr">
        <is>
          <t>Fixed fee</t>
        </is>
      </c>
      <c r="E63" s="4" t="inlineStr">
        <is>
          <t>Meridian Southwest</t>
        </is>
      </c>
      <c r="F63" s="4" t="inlineStr">
        <is>
          <t>Lynn Tran</t>
        </is>
      </c>
      <c r="G63" s="5" t="n">
        <v>112600</v>
      </c>
      <c r="H63" s="5" t="n">
        <v>91374.89999999999</v>
      </c>
      <c r="I63" s="5" t="n">
        <v>91374.89999999999</v>
      </c>
      <c r="J63" s="5" t="n">
        <v>77637.7</v>
      </c>
      <c r="K63" s="5" t="n">
        <v>77637.7</v>
      </c>
      <c r="L63" s="5" t="n">
        <v>0</v>
      </c>
      <c r="M63" s="5" t="n">
        <v>63002.79</v>
      </c>
      <c r="N63" s="5" t="n">
        <v>14634.91</v>
      </c>
      <c r="O63" s="6" t="n">
        <v>0.8110000000000001</v>
      </c>
      <c r="P63" s="6" t="n">
        <v>0.8115</v>
      </c>
    </row>
    <row r="64">
      <c r="A64" s="4" t="inlineStr">
        <is>
          <t>24-PC-30233</t>
        </is>
      </c>
      <c r="B64" s="4" t="inlineStr">
        <is>
          <t>Bramble Creek Mine Expansion Phase I Survey</t>
        </is>
      </c>
      <c r="C64" s="4" t="inlineStr">
        <is>
          <t>In Progress</t>
        </is>
      </c>
      <c r="D64" s="4" t="inlineStr">
        <is>
          <t>Fixed fee</t>
        </is>
      </c>
      <c r="E64" s="4" t="inlineStr">
        <is>
          <t>Big Sky</t>
        </is>
      </c>
      <c r="F64" s="4" t="inlineStr">
        <is>
          <t>Javier Estrada</t>
        </is>
      </c>
      <c r="G64" s="5" t="n">
        <v>93300</v>
      </c>
      <c r="H64" s="5" t="n">
        <v>93300</v>
      </c>
      <c r="I64" s="5" t="n">
        <v>90265.16</v>
      </c>
      <c r="J64" s="5" t="n">
        <v>59544.06</v>
      </c>
      <c r="K64" s="5" t="n">
        <v>59544.06</v>
      </c>
      <c r="L64" s="5" t="n">
        <v>0</v>
      </c>
      <c r="M64" s="5" t="n">
        <v>93708.96000000001</v>
      </c>
      <c r="N64" s="5" t="n">
        <v>-34164.90000000001</v>
      </c>
      <c r="O64" s="6" t="n">
        <v>1</v>
      </c>
      <c r="P64" s="6" t="n">
        <v>1.5738</v>
      </c>
    </row>
    <row r="65">
      <c r="A65" s="4" t="inlineStr">
        <is>
          <t>24-PC-30679</t>
        </is>
      </c>
      <c r="B65" s="4" t="inlineStr">
        <is>
          <t>Kestrel Butte Maritime Remote Sensing Survey</t>
        </is>
      </c>
      <c r="C65" s="4" t="inlineStr">
        <is>
          <t>In Progress</t>
        </is>
      </c>
      <c r="D65" s="4" t="inlineStr">
        <is>
          <t>Fixed fee</t>
        </is>
      </c>
      <c r="E65" s="4" t="inlineStr">
        <is>
          <t>Bluegrass</t>
        </is>
      </c>
      <c r="F65" s="4" t="inlineStr">
        <is>
          <t>Kiara Gillespie</t>
        </is>
      </c>
      <c r="G65" s="5" t="n">
        <v>60600</v>
      </c>
      <c r="H65" s="5" t="n">
        <v>60600</v>
      </c>
      <c r="I65" s="5" t="n">
        <v>60600</v>
      </c>
      <c r="J65" s="5" t="n">
        <v>45577.26</v>
      </c>
      <c r="K65" s="5" t="n">
        <v>45577.26</v>
      </c>
      <c r="L65" s="5" t="n">
        <v>0</v>
      </c>
      <c r="M65" s="5" t="n">
        <v>50596.88</v>
      </c>
      <c r="N65" s="5" t="n">
        <v>-5019.619999999995</v>
      </c>
      <c r="O65" s="6" t="n">
        <v>1</v>
      </c>
      <c r="P65" s="6" t="n">
        <v>1.1101</v>
      </c>
    </row>
    <row r="66">
      <c r="A66" s="4" t="inlineStr">
        <is>
          <t>24-PC-31282</t>
        </is>
      </c>
      <c r="B66" s="4" t="inlineStr">
        <is>
          <t>Phase III: Timber Gap Mixed-Use Development GIS Mapping</t>
        </is>
      </c>
      <c r="C66" s="4" t="inlineStr">
        <is>
          <t>Cost Tracking on Closed Project</t>
        </is>
      </c>
      <c r="D66" s="4" t="inlineStr">
        <is>
          <t>Time and material</t>
        </is>
      </c>
      <c r="E66" s="4" t="inlineStr">
        <is>
          <t>Cascade</t>
        </is>
      </c>
      <c r="F66" s="4" t="inlineStr">
        <is>
          <t>Preston Duarte</t>
        </is>
      </c>
      <c r="G66" s="5" t="n">
        <v>94000</v>
      </c>
      <c r="H66" s="5" t="n">
        <v>63920</v>
      </c>
      <c r="I66" s="5" t="n">
        <v>63920</v>
      </c>
      <c r="J66" s="5" t="n">
        <v>65640.2</v>
      </c>
      <c r="K66" s="5" t="n">
        <v>65640.2</v>
      </c>
      <c r="L66" s="5" t="n">
        <v>0</v>
      </c>
      <c r="M66" s="5" t="n">
        <v>73270.02</v>
      </c>
      <c r="N66" s="5" t="n">
        <v>-7629.820000000007</v>
      </c>
      <c r="O66" s="6" t="n">
        <v>0.68</v>
      </c>
      <c r="P66" s="6" t="n">
        <v>1.1162</v>
      </c>
    </row>
    <row r="67">
      <c r="A67" s="4" t="inlineStr">
        <is>
          <t>24-PC-31434</t>
        </is>
      </c>
      <c r="B67" s="4" t="inlineStr">
        <is>
          <t>Pebble Beach Road Cultural Resources Assessment</t>
        </is>
      </c>
      <c r="C67" s="4" t="inlineStr">
        <is>
          <t>In Progress</t>
        </is>
      </c>
      <c r="D67" s="4" t="inlineStr">
        <is>
          <t>Fixed fee</t>
        </is>
      </c>
      <c r="E67" s="4" t="inlineStr">
        <is>
          <t>Cascade</t>
        </is>
      </c>
      <c r="F67" s="4" t="inlineStr">
        <is>
          <t>Jean Cooke</t>
        </is>
      </c>
      <c r="G67" s="5" t="n">
        <v>18200</v>
      </c>
      <c r="H67" s="5" t="n">
        <v>13335.14</v>
      </c>
      <c r="I67" s="5" t="n">
        <v>13335.14</v>
      </c>
      <c r="J67" s="5" t="n">
        <v>12417.86</v>
      </c>
      <c r="K67" s="5" t="n">
        <v>12417.86</v>
      </c>
      <c r="L67" s="5" t="n">
        <v>0</v>
      </c>
      <c r="M67" s="5" t="n">
        <v>9098.08</v>
      </c>
      <c r="N67" s="5" t="n">
        <v>3319.780000000001</v>
      </c>
      <c r="O67" s="6" t="n">
        <v>0.733</v>
      </c>
      <c r="P67" s="6" t="n">
        <v>0.7327</v>
      </c>
    </row>
    <row r="68">
      <c r="A68" s="4" t="inlineStr">
        <is>
          <t>24-PC-31453</t>
        </is>
      </c>
      <c r="B68" s="4" t="inlineStr">
        <is>
          <t>Timber Gap Cell Tower Paleontological Monitoring</t>
        </is>
      </c>
      <c r="C68" s="4" t="inlineStr">
        <is>
          <t>In Progress</t>
        </is>
      </c>
      <c r="D68" s="4" t="inlineStr">
        <is>
          <t>Time and material</t>
        </is>
      </c>
      <c r="E68" s="4" t="inlineStr">
        <is>
          <t>Cascade</t>
        </is>
      </c>
      <c r="F68" s="4" t="inlineStr">
        <is>
          <t>Gene Nixon</t>
        </is>
      </c>
      <c r="G68" s="5" t="n">
        <v>18300</v>
      </c>
      <c r="H68" s="5" t="n">
        <v>12444</v>
      </c>
      <c r="I68" s="5" t="n">
        <v>12444</v>
      </c>
      <c r="J68" s="5" t="n">
        <v>11931.6</v>
      </c>
      <c r="K68" s="5" t="n">
        <v>11931.6</v>
      </c>
      <c r="L68" s="5" t="n">
        <v>0</v>
      </c>
      <c r="M68" s="5" t="n">
        <v>9112.040000000001</v>
      </c>
      <c r="N68" s="5" t="n">
        <v>2819.559999999999</v>
      </c>
      <c r="O68" s="6" t="n">
        <v>0.68</v>
      </c>
      <c r="P68" s="6" t="n">
        <v>0.7637</v>
      </c>
    </row>
    <row r="69">
      <c r="A69" s="4" t="inlineStr">
        <is>
          <t>24-PC-31503</t>
        </is>
      </c>
      <c r="B69" s="4" t="inlineStr">
        <is>
          <t>North Fork Wind Farm Curation</t>
        </is>
      </c>
      <c r="C69" s="4" t="inlineStr">
        <is>
          <t>Lab/Curation</t>
        </is>
      </c>
      <c r="D69" s="4" t="inlineStr">
        <is>
          <t>Time and material</t>
        </is>
      </c>
      <c r="E69" s="4" t="inlineStr">
        <is>
          <t>Cascade</t>
        </is>
      </c>
      <c r="F69" s="4" t="inlineStr">
        <is>
          <t>Preston Duarte</t>
        </is>
      </c>
      <c r="G69" s="5" t="n">
        <v>129900</v>
      </c>
      <c r="H69" s="5" t="n">
        <v>88332</v>
      </c>
      <c r="I69" s="5" t="n">
        <v>88332</v>
      </c>
      <c r="J69" s="5" t="n">
        <v>87825.39</v>
      </c>
      <c r="K69" s="5" t="n">
        <v>87825.39</v>
      </c>
      <c r="L69" s="5" t="n">
        <v>0</v>
      </c>
      <c r="M69" s="5" t="n">
        <v>98773.25999999999</v>
      </c>
      <c r="N69" s="5" t="n">
        <v>-10947.87</v>
      </c>
      <c r="O69" s="6" t="n">
        <v>0.68</v>
      </c>
      <c r="P69" s="6" t="n">
        <v>1.1247</v>
      </c>
    </row>
    <row r="70">
      <c r="A70" s="4" t="inlineStr">
        <is>
          <t>24-PC-31663</t>
        </is>
      </c>
      <c r="B70" s="4" t="inlineStr">
        <is>
          <t>Fern Valley Section 106 Consultation</t>
        </is>
      </c>
      <c r="C70" s="4" t="inlineStr">
        <is>
          <t>In Progress</t>
        </is>
      </c>
      <c r="D70" s="4" t="inlineStr">
        <is>
          <t>Fixed fee</t>
        </is>
      </c>
      <c r="E70" s="4" t="inlineStr">
        <is>
          <t>Cascade</t>
        </is>
      </c>
      <c r="F70" s="4" t="inlineStr">
        <is>
          <t>Jean Cooke</t>
        </is>
      </c>
      <c r="G70" s="5" t="n">
        <v>52600</v>
      </c>
      <c r="H70" s="5" t="n">
        <v>43847.36</v>
      </c>
      <c r="I70" s="5" t="n">
        <v>43847.36</v>
      </c>
      <c r="J70" s="5" t="n">
        <v>37714.2</v>
      </c>
      <c r="K70" s="5" t="n">
        <v>37714.2</v>
      </c>
      <c r="L70" s="5" t="n">
        <v>0</v>
      </c>
      <c r="M70" s="5" t="n">
        <v>31436.99</v>
      </c>
      <c r="N70" s="5" t="n">
        <v>6277.209999999995</v>
      </c>
      <c r="O70" s="6" t="n">
        <v>0.834</v>
      </c>
      <c r="P70" s="6" t="n">
        <v>0.8336</v>
      </c>
    </row>
    <row r="71">
      <c r="A71" s="4" t="inlineStr">
        <is>
          <t>24-PC-31857</t>
        </is>
      </c>
      <c r="B71" s="4" t="inlineStr">
        <is>
          <t>Falcon Mesa Airport Apron Environmental Review Support</t>
        </is>
      </c>
      <c r="C71" s="4" t="inlineStr">
        <is>
          <t>In Progress</t>
        </is>
      </c>
      <c r="D71" s="4" t="inlineStr">
        <is>
          <t>Time and material</t>
        </is>
      </c>
      <c r="E71" s="4" t="inlineStr">
        <is>
          <t>Cascade</t>
        </is>
      </c>
      <c r="F71" s="4" t="inlineStr">
        <is>
          <t>Gene Nixon</t>
        </is>
      </c>
      <c r="G71" s="5" t="n">
        <v>15200</v>
      </c>
      <c r="H71" s="5" t="n">
        <v>10871.15</v>
      </c>
      <c r="I71" s="5" t="n">
        <v>10871.15</v>
      </c>
      <c r="J71" s="5" t="n">
        <v>10676.48</v>
      </c>
      <c r="K71" s="5" t="n">
        <v>10676.48</v>
      </c>
      <c r="L71" s="5" t="n">
        <v>0</v>
      </c>
      <c r="M71" s="5" t="n">
        <v>7665.21</v>
      </c>
      <c r="N71" s="5" t="n">
        <v>3011.27</v>
      </c>
      <c r="O71" s="6" t="n">
        <v>0.715</v>
      </c>
      <c r="P71" s="6" t="n">
        <v>0.718</v>
      </c>
    </row>
    <row r="72">
      <c r="A72" s="4" t="inlineStr">
        <is>
          <t>24-PC-32201</t>
        </is>
      </c>
      <c r="B72" s="4" t="inlineStr">
        <is>
          <t>Task Order 14: Hawk Point Harbor Dredging Maritime Remote Sensing Survey</t>
        </is>
      </c>
      <c r="C72" s="4" t="inlineStr">
        <is>
          <t>In Progress</t>
        </is>
      </c>
      <c r="D72" s="4" t="inlineStr">
        <is>
          <t>Fixed fee</t>
        </is>
      </c>
      <c r="E72" s="4" t="inlineStr">
        <is>
          <t>Chesapeake</t>
        </is>
      </c>
      <c r="F72" s="4" t="inlineStr">
        <is>
          <t>Jason Oconnor</t>
        </is>
      </c>
      <c r="G72" s="5" t="n">
        <v>51800</v>
      </c>
      <c r="H72" s="5" t="n">
        <v>51800</v>
      </c>
      <c r="I72" s="5" t="n">
        <v>50026.67</v>
      </c>
      <c r="J72" s="5" t="n">
        <v>36731.38</v>
      </c>
      <c r="K72" s="5" t="n">
        <v>36731.38</v>
      </c>
      <c r="L72" s="5" t="n">
        <v>0</v>
      </c>
      <c r="M72" s="5" t="n">
        <v>59530.75</v>
      </c>
      <c r="N72" s="5" t="n">
        <v>-22799.37</v>
      </c>
      <c r="O72" s="6" t="n">
        <v>1</v>
      </c>
      <c r="P72" s="6" t="n">
        <v>1.6207</v>
      </c>
    </row>
    <row r="73">
      <c r="A73" s="4" t="inlineStr">
        <is>
          <t>24-PC-32647</t>
        </is>
      </c>
      <c r="B73" s="4" t="inlineStr">
        <is>
          <t>On-Call: Granite Pass Substation Cultural Resources Monitoring</t>
        </is>
      </c>
      <c r="C73" s="4" t="inlineStr">
        <is>
          <t>Final Reporting/Review</t>
        </is>
      </c>
      <c r="D73" s="4" t="inlineStr">
        <is>
          <t>Fixed fee</t>
        </is>
      </c>
      <c r="E73" s="4" t="inlineStr">
        <is>
          <t>Chesapeake</t>
        </is>
      </c>
      <c r="F73" s="4" t="inlineStr">
        <is>
          <t>Alexandria Wilkinson</t>
        </is>
      </c>
      <c r="G73" s="5" t="n">
        <v>84000</v>
      </c>
      <c r="H73" s="5" t="n">
        <v>84000</v>
      </c>
      <c r="I73" s="5" t="n">
        <v>83888.35000000001</v>
      </c>
      <c r="J73" s="5" t="n">
        <v>70198.8</v>
      </c>
      <c r="K73" s="5" t="n">
        <v>70198.8</v>
      </c>
      <c r="L73" s="5" t="n">
        <v>0</v>
      </c>
      <c r="M73" s="5" t="n">
        <v>85361.67</v>
      </c>
      <c r="N73" s="5" t="n">
        <v>-15162.87</v>
      </c>
      <c r="O73" s="6" t="n">
        <v>1</v>
      </c>
      <c r="P73" s="6" t="n">
        <v>1.216</v>
      </c>
    </row>
    <row r="74">
      <c r="A74" s="4" t="inlineStr">
        <is>
          <t>24-PC-32688</t>
        </is>
      </c>
      <c r="B74" s="4" t="inlineStr">
        <is>
          <t>Phase II: Tamarack Reservoir Paleontological Monitoring</t>
        </is>
      </c>
      <c r="C74" s="4" t="inlineStr">
        <is>
          <t>In Progress</t>
        </is>
      </c>
      <c r="D74" s="4" t="inlineStr">
        <is>
          <t>Fixed fee</t>
        </is>
      </c>
      <c r="E74" s="4" t="inlineStr">
        <is>
          <t>Chesapeake</t>
        </is>
      </c>
      <c r="F74" s="4" t="inlineStr">
        <is>
          <t>Ian Maddox</t>
        </is>
      </c>
      <c r="G74" s="5" t="n">
        <v>51700</v>
      </c>
      <c r="H74" s="5" t="n">
        <v>44730.84</v>
      </c>
      <c r="I74" s="5" t="n">
        <v>44730.84</v>
      </c>
      <c r="J74" s="5" t="n">
        <v>45206.48</v>
      </c>
      <c r="K74" s="5" t="n">
        <v>45206.48</v>
      </c>
      <c r="L74" s="5" t="n">
        <v>0</v>
      </c>
      <c r="M74" s="5" t="n">
        <v>39111.36</v>
      </c>
      <c r="N74" s="5" t="n">
        <v>6095.120000000003</v>
      </c>
      <c r="O74" s="6" t="n">
        <v>0.865</v>
      </c>
      <c r="P74" s="6" t="n">
        <v>0.8652</v>
      </c>
    </row>
    <row r="75">
      <c r="A75" s="4" t="inlineStr">
        <is>
          <t>24-PC-33448</t>
        </is>
      </c>
      <c r="B75" s="4" t="inlineStr">
        <is>
          <t>Ember Valley Solar Architectural History Survey</t>
        </is>
      </c>
      <c r="C75" s="4" t="inlineStr">
        <is>
          <t>In Progress</t>
        </is>
      </c>
      <c r="D75" s="4" t="inlineStr">
        <is>
          <t>Fixed fee</t>
        </is>
      </c>
      <c r="E75" s="4" t="inlineStr">
        <is>
          <t>Front Range</t>
        </is>
      </c>
      <c r="F75" s="4" t="inlineStr">
        <is>
          <t>Devon Pitts</t>
        </is>
      </c>
      <c r="G75" s="5" t="n">
        <v>681000</v>
      </c>
      <c r="H75" s="5" t="n">
        <v>563868</v>
      </c>
      <c r="I75" s="5" t="n">
        <v>560235.9399999999</v>
      </c>
      <c r="J75" s="5" t="n">
        <v>419972.7</v>
      </c>
      <c r="K75" s="5" t="n">
        <v>419972.7</v>
      </c>
      <c r="L75" s="5" t="n">
        <v>0</v>
      </c>
      <c r="M75" s="5" t="n">
        <v>347755.54</v>
      </c>
      <c r="N75" s="5" t="n">
        <v>72217.16000000003</v>
      </c>
      <c r="O75" s="6" t="n">
        <v>0.828</v>
      </c>
      <c r="P75" s="6" t="n">
        <v>0.828</v>
      </c>
    </row>
    <row r="76">
      <c r="A76" s="4" t="inlineStr">
        <is>
          <t>24-PC-33822</t>
        </is>
      </c>
      <c r="B76" s="4" t="inlineStr">
        <is>
          <t>Task Order 36: Windmill Flat School Campus Cultural Resources Monitoring</t>
        </is>
      </c>
      <c r="C76" s="4" t="inlineStr">
        <is>
          <t>In Progress</t>
        </is>
      </c>
      <c r="D76" s="4" t="inlineStr">
        <is>
          <t>Fixed fee</t>
        </is>
      </c>
      <c r="E76" s="4" t="inlineStr">
        <is>
          <t>Great Lakes</t>
        </is>
      </c>
      <c r="F76" s="4" t="inlineStr">
        <is>
          <t>Karl Valenzuela</t>
        </is>
      </c>
      <c r="G76" s="5" t="n">
        <v>64500</v>
      </c>
      <c r="H76" s="5" t="n">
        <v>59346.45</v>
      </c>
      <c r="I76" s="5" t="n">
        <v>57224.04</v>
      </c>
      <c r="J76" s="5" t="n">
        <v>49568.25</v>
      </c>
      <c r="K76" s="5" t="n">
        <v>49568.25</v>
      </c>
      <c r="L76" s="5" t="n">
        <v>0</v>
      </c>
      <c r="M76" s="5" t="n">
        <v>45606.09</v>
      </c>
      <c r="N76" s="5" t="n">
        <v>3962.160000000003</v>
      </c>
      <c r="O76" s="6" t="n">
        <v>0.92</v>
      </c>
      <c r="P76" s="6" t="n">
        <v>0.9201</v>
      </c>
    </row>
    <row r="77">
      <c r="A77" s="4" t="inlineStr">
        <is>
          <t>24-PC-33985</t>
        </is>
      </c>
      <c r="B77" s="4" t="inlineStr">
        <is>
          <t>Thistle Down Substation Curation</t>
        </is>
      </c>
      <c r="C77" s="4" t="inlineStr">
        <is>
          <t>In Progress</t>
        </is>
      </c>
      <c r="D77" s="4" t="inlineStr">
        <is>
          <t>Time and material</t>
        </is>
      </c>
      <c r="E77" s="4" t="inlineStr">
        <is>
          <t>Great Lakes</t>
        </is>
      </c>
      <c r="F77" s="4" t="inlineStr">
        <is>
          <t>Angelica Cervantes</t>
        </is>
      </c>
      <c r="G77" s="5" t="n">
        <v>78300</v>
      </c>
      <c r="H77" s="5" t="n">
        <v>53244</v>
      </c>
      <c r="I77" s="5" t="n">
        <v>53244</v>
      </c>
      <c r="J77" s="5" t="n">
        <v>57863.7</v>
      </c>
      <c r="K77" s="5" t="n">
        <v>57863.7</v>
      </c>
      <c r="L77" s="5" t="n">
        <v>0</v>
      </c>
      <c r="M77" s="5" t="n">
        <v>50630.38</v>
      </c>
      <c r="N77" s="5" t="n">
        <v>7233.32</v>
      </c>
      <c r="O77" s="6" t="n">
        <v>0.68</v>
      </c>
      <c r="P77" s="6" t="n">
        <v>0.875</v>
      </c>
    </row>
    <row r="78">
      <c r="A78" s="4" t="inlineStr">
        <is>
          <t>24-PC-34330</t>
        </is>
      </c>
      <c r="B78" s="4" t="inlineStr">
        <is>
          <t>On-Call: Harbor View Highway Widening Historic Resources Evaluation</t>
        </is>
      </c>
      <c r="C78" s="4" t="inlineStr">
        <is>
          <t>In Progress</t>
        </is>
      </c>
      <c r="D78" s="4" t="inlineStr">
        <is>
          <t>Time and material</t>
        </is>
      </c>
      <c r="E78" s="4" t="inlineStr">
        <is>
          <t>Great Lakes</t>
        </is>
      </c>
      <c r="F78" s="4" t="inlineStr">
        <is>
          <t>Karl Valenzuela</t>
        </is>
      </c>
      <c r="G78" s="5" t="n">
        <v>38700</v>
      </c>
      <c r="H78" s="5" t="n">
        <v>26316</v>
      </c>
      <c r="I78" s="5" t="n">
        <v>26316</v>
      </c>
      <c r="J78" s="5" t="n">
        <v>26644.95</v>
      </c>
      <c r="K78" s="5" t="n">
        <v>26644.95</v>
      </c>
      <c r="L78" s="5" t="n">
        <v>0</v>
      </c>
      <c r="M78" s="5" t="n">
        <v>19241.81</v>
      </c>
      <c r="N78" s="5" t="n">
        <v>7403.139999999999</v>
      </c>
      <c r="O78" s="6" t="n">
        <v>0.68</v>
      </c>
      <c r="P78" s="6" t="n">
        <v>0.7222</v>
      </c>
    </row>
    <row r="79">
      <c r="A79" s="4" t="inlineStr">
        <is>
          <t>24-PC-34663</t>
        </is>
      </c>
      <c r="B79" s="4" t="inlineStr">
        <is>
          <t>Redbud Airport Apron - GIS Mapping</t>
        </is>
      </c>
      <c r="C79" s="4" t="inlineStr">
        <is>
          <t>In Progress</t>
        </is>
      </c>
      <c r="D79" s="4" t="inlineStr">
        <is>
          <t>Time and material</t>
        </is>
      </c>
      <c r="E79" s="4" t="inlineStr">
        <is>
          <t>Great Lakes</t>
        </is>
      </c>
      <c r="F79" s="4" t="inlineStr">
        <is>
          <t>Kathleen Galvan</t>
        </is>
      </c>
      <c r="G79" s="5" t="n">
        <v>505100</v>
      </c>
      <c r="H79" s="5" t="n">
        <v>343468</v>
      </c>
      <c r="I79" s="5" t="n">
        <v>343468</v>
      </c>
      <c r="J79" s="5" t="n">
        <v>342760.86</v>
      </c>
      <c r="K79" s="5" t="n">
        <v>342760.86</v>
      </c>
      <c r="L79" s="5" t="n">
        <v>0</v>
      </c>
      <c r="M79" s="5" t="n">
        <v>286062.16</v>
      </c>
      <c r="N79" s="5" t="n">
        <v>56698.70000000001</v>
      </c>
      <c r="O79" s="6" t="n">
        <v>0.68</v>
      </c>
      <c r="P79" s="6" t="n">
        <v>0.8346</v>
      </c>
    </row>
    <row r="80">
      <c r="A80" s="4" t="inlineStr">
        <is>
          <t>24-PC-34803</t>
        </is>
      </c>
      <c r="B80" s="4" t="inlineStr">
        <is>
          <t>Cedar Hollow Highway Widening - Section 106 Consultation</t>
        </is>
      </c>
      <c r="C80" s="4" t="inlineStr">
        <is>
          <t>In Progress</t>
        </is>
      </c>
      <c r="D80" s="4" t="inlineStr">
        <is>
          <t>Time and material</t>
        </is>
      </c>
      <c r="E80" s="4" t="inlineStr">
        <is>
          <t>Gulf Coast</t>
        </is>
      </c>
      <c r="F80" s="4" t="inlineStr">
        <is>
          <t>Courtney Daugherty</t>
        </is>
      </c>
      <c r="G80" s="5" t="n">
        <v>176500</v>
      </c>
      <c r="H80" s="5" t="n">
        <v>120020</v>
      </c>
      <c r="I80" s="5" t="n">
        <v>120020</v>
      </c>
      <c r="J80" s="5" t="n">
        <v>121414.35</v>
      </c>
      <c r="K80" s="5" t="n">
        <v>121414.35</v>
      </c>
      <c r="L80" s="5" t="n">
        <v>0</v>
      </c>
      <c r="M80" s="5" t="n">
        <v>122080.25</v>
      </c>
      <c r="N80" s="5" t="n">
        <v>-665.8999999999942</v>
      </c>
      <c r="O80" s="6" t="n">
        <v>0.68</v>
      </c>
      <c r="P80" s="6" t="n">
        <v>1.0055</v>
      </c>
    </row>
    <row r="81">
      <c r="A81" s="4" t="inlineStr">
        <is>
          <t>24-PC-34975</t>
        </is>
      </c>
      <c r="B81" s="4" t="inlineStr">
        <is>
          <t>Foxglove Fiber Route GIS Mapping</t>
        </is>
      </c>
      <c r="C81" s="4" t="inlineStr">
        <is>
          <t>In Progress</t>
        </is>
      </c>
      <c r="D81" s="4" t="inlineStr">
        <is>
          <t>Fixed fee</t>
        </is>
      </c>
      <c r="E81" s="4" t="inlineStr">
        <is>
          <t>Gulf Coast West</t>
        </is>
      </c>
      <c r="F81" s="4" t="inlineStr">
        <is>
          <t>Bernard Erickson</t>
        </is>
      </c>
      <c r="G81" s="5" t="n">
        <v>205900</v>
      </c>
      <c r="H81" s="5" t="n">
        <v>175159.13</v>
      </c>
      <c r="I81" s="5" t="n">
        <v>175159.13</v>
      </c>
      <c r="J81" s="5" t="n">
        <v>181192</v>
      </c>
      <c r="K81" s="5" t="n">
        <v>181192</v>
      </c>
      <c r="L81" s="5" t="n">
        <v>0</v>
      </c>
      <c r="M81" s="5" t="n">
        <v>154132.44</v>
      </c>
      <c r="N81" s="5" t="n">
        <v>27059.56</v>
      </c>
      <c r="O81" s="6" t="n">
        <v>0.851</v>
      </c>
      <c r="P81" s="6" t="n">
        <v>0.8507</v>
      </c>
    </row>
    <row r="82">
      <c r="A82" s="4" t="inlineStr">
        <is>
          <t>24-PC-35412</t>
        </is>
      </c>
      <c r="B82" s="4" t="inlineStr">
        <is>
          <t>Sumac Ridge Reservoir - Historic Resources Evaluation</t>
        </is>
      </c>
      <c r="C82" s="4" t="inlineStr">
        <is>
          <t>In Progress</t>
        </is>
      </c>
      <c r="D82" s="4" t="inlineStr">
        <is>
          <t>Time and material</t>
        </is>
      </c>
      <c r="E82" s="4" t="inlineStr">
        <is>
          <t>High Desert</t>
        </is>
      </c>
      <c r="F82" s="4" t="inlineStr">
        <is>
          <t>Kathy Hurley</t>
        </is>
      </c>
      <c r="G82" s="5" t="n">
        <v>301200</v>
      </c>
      <c r="H82" s="5" t="n">
        <v>204816</v>
      </c>
      <c r="I82" s="5" t="n">
        <v>204816</v>
      </c>
      <c r="J82" s="5" t="n">
        <v>217496.52</v>
      </c>
      <c r="K82" s="5" t="n">
        <v>217496.52</v>
      </c>
      <c r="L82" s="5" t="n">
        <v>0</v>
      </c>
      <c r="M82" s="5" t="n">
        <v>196030.1</v>
      </c>
      <c r="N82" s="5" t="n">
        <v>21466.41999999998</v>
      </c>
      <c r="O82" s="6" t="n">
        <v>0.68</v>
      </c>
      <c r="P82" s="6" t="n">
        <v>0.9013</v>
      </c>
    </row>
    <row r="83">
      <c r="A83" s="4" t="inlineStr">
        <is>
          <t>24-PC-35586</t>
        </is>
      </c>
      <c r="B83" s="4" t="inlineStr">
        <is>
          <t>Quail Run Harbor Dredging - Data Recovery</t>
        </is>
      </c>
      <c r="C83" s="4" t="inlineStr">
        <is>
          <t>In Progress</t>
        </is>
      </c>
      <c r="D83" s="4" t="inlineStr">
        <is>
          <t>Fixed fee</t>
        </is>
      </c>
      <c r="E83" s="4" t="inlineStr">
        <is>
          <t>High Desert</t>
        </is>
      </c>
      <c r="F83" s="4" t="inlineStr">
        <is>
          <t>Eileen Poole</t>
        </is>
      </c>
      <c r="G83" s="5" t="n">
        <v>119200</v>
      </c>
      <c r="H83" s="5" t="n">
        <v>90150.96000000001</v>
      </c>
      <c r="I83" s="5" t="n">
        <v>90150.96000000001</v>
      </c>
      <c r="J83" s="5" t="n">
        <v>88243.75999999999</v>
      </c>
      <c r="K83" s="5" t="n">
        <v>88243.75999999999</v>
      </c>
      <c r="L83" s="5" t="n">
        <v>0</v>
      </c>
      <c r="M83" s="5" t="n">
        <v>66735.14</v>
      </c>
      <c r="N83" s="5" t="n">
        <v>21508.62</v>
      </c>
      <c r="O83" s="6" t="n">
        <v>0.756</v>
      </c>
      <c r="P83" s="6" t="n">
        <v>0.7563</v>
      </c>
    </row>
    <row r="84">
      <c r="A84" s="4" t="inlineStr">
        <is>
          <t>24-PC-35661</t>
        </is>
      </c>
      <c r="B84" s="4" t="inlineStr">
        <is>
          <t>On-Call: Willow Springs Reservoir Archaeological Testing</t>
        </is>
      </c>
      <c r="C84" s="4" t="inlineStr">
        <is>
          <t>In Progress</t>
        </is>
      </c>
      <c r="D84" s="4" t="inlineStr">
        <is>
          <t>Time and material</t>
        </is>
      </c>
      <c r="E84" s="4" t="inlineStr">
        <is>
          <t>High Desert</t>
        </is>
      </c>
      <c r="F84" s="4" t="inlineStr">
        <is>
          <t>Kathy Hurley</t>
        </is>
      </c>
      <c r="G84" s="5" t="n">
        <v>69900</v>
      </c>
      <c r="H84" s="5" t="n">
        <v>69900</v>
      </c>
      <c r="I84" s="5" t="n">
        <v>66597.48</v>
      </c>
      <c r="J84" s="5" t="n">
        <v>49013.31</v>
      </c>
      <c r="K84" s="5" t="n">
        <v>40696.6</v>
      </c>
      <c r="L84" s="5" t="n">
        <v>8316.709999999999</v>
      </c>
      <c r="M84" s="5" t="n">
        <v>53862.59</v>
      </c>
      <c r="N84" s="5" t="n">
        <v>-4849.279999999999</v>
      </c>
      <c r="O84" s="6" t="n">
        <v>1</v>
      </c>
      <c r="P84" s="6" t="n">
        <v>1.0989</v>
      </c>
    </row>
    <row r="85">
      <c r="A85" s="4" t="inlineStr">
        <is>
          <t>24-PC-35872</t>
        </is>
      </c>
      <c r="B85" s="4" t="inlineStr">
        <is>
          <t>Wren Hollow Cultural Resources Monitoring</t>
        </is>
      </c>
      <c r="C85" s="4" t="inlineStr">
        <is>
          <t>In Progress</t>
        </is>
      </c>
      <c r="D85" s="4" t="inlineStr">
        <is>
          <t>Time and material</t>
        </is>
      </c>
      <c r="E85" s="4" t="inlineStr">
        <is>
          <t>High Desert</t>
        </is>
      </c>
      <c r="F85" s="4" t="inlineStr">
        <is>
          <t>Kathy Hurley</t>
        </is>
      </c>
      <c r="G85" s="5" t="n">
        <v>225100</v>
      </c>
      <c r="H85" s="5" t="n">
        <v>200102.05</v>
      </c>
      <c r="I85" s="5" t="n">
        <v>200102.05</v>
      </c>
      <c r="J85" s="5" t="n">
        <v>153743.3</v>
      </c>
      <c r="K85" s="5" t="n">
        <v>153743.3</v>
      </c>
      <c r="L85" s="5" t="n">
        <v>0</v>
      </c>
      <c r="M85" s="5" t="n">
        <v>140872.8</v>
      </c>
      <c r="N85" s="5" t="n">
        <v>12870.5</v>
      </c>
      <c r="O85" s="6" t="n">
        <v>0.889</v>
      </c>
      <c r="P85" s="6" t="n">
        <v>0.9163</v>
      </c>
    </row>
    <row r="86">
      <c r="A86" s="4" t="inlineStr">
        <is>
          <t>24-PC-36099</t>
        </is>
      </c>
      <c r="B86" s="4" t="inlineStr">
        <is>
          <t>Copper Flats Rail Siding - Built Environment Survey</t>
        </is>
      </c>
      <c r="C86" s="4" t="inlineStr">
        <is>
          <t>In Progress</t>
        </is>
      </c>
      <c r="D86" s="4" t="inlineStr">
        <is>
          <t>Fixed fee</t>
        </is>
      </c>
      <c r="E86" s="4" t="inlineStr">
        <is>
          <t>High Desert</t>
        </is>
      </c>
      <c r="F86" s="4" t="inlineStr">
        <is>
          <t>Eileen Poole</t>
        </is>
      </c>
      <c r="G86" s="5" t="n">
        <v>12900</v>
      </c>
      <c r="H86" s="5" t="n">
        <v>10859.22</v>
      </c>
      <c r="I86" s="5" t="n">
        <v>10859.22</v>
      </c>
      <c r="J86" s="5" t="n">
        <v>9094.5</v>
      </c>
      <c r="K86" s="5" t="n">
        <v>9094.5</v>
      </c>
      <c r="L86" s="5" t="n">
        <v>0</v>
      </c>
      <c r="M86" s="5" t="n">
        <v>7655.43</v>
      </c>
      <c r="N86" s="5" t="n">
        <v>1439.07</v>
      </c>
      <c r="O86" s="6" t="n">
        <v>0.842</v>
      </c>
      <c r="P86" s="6" t="n">
        <v>0.8418</v>
      </c>
    </row>
    <row r="87">
      <c r="A87" s="4" t="inlineStr">
        <is>
          <t>24-PC-36146</t>
        </is>
      </c>
      <c r="B87" s="4" t="inlineStr">
        <is>
          <t>Sea Oat Bridge Replacement Phase II Testing</t>
        </is>
      </c>
      <c r="C87" s="4" t="inlineStr">
        <is>
          <t>Cost Tracking on Closed Project</t>
        </is>
      </c>
      <c r="D87" s="4" t="inlineStr">
        <is>
          <t>Fixed fee</t>
        </is>
      </c>
      <c r="E87" s="4" t="inlineStr">
        <is>
          <t>High Desert</t>
        </is>
      </c>
      <c r="F87" s="4" t="inlineStr">
        <is>
          <t>Kathy Hurley</t>
        </is>
      </c>
      <c r="G87" s="5" t="n">
        <v>58300</v>
      </c>
      <c r="H87" s="5" t="n">
        <v>58300</v>
      </c>
      <c r="I87" s="5" t="n">
        <v>58300</v>
      </c>
      <c r="J87" s="5" t="n">
        <v>39072.66</v>
      </c>
      <c r="K87" s="5" t="n">
        <v>39072.66</v>
      </c>
      <c r="L87" s="5" t="n">
        <v>0</v>
      </c>
      <c r="M87" s="5" t="n">
        <v>45518.79</v>
      </c>
      <c r="N87" s="5" t="n">
        <v>-6446.129999999997</v>
      </c>
      <c r="O87" s="6" t="n">
        <v>1</v>
      </c>
      <c r="P87" s="6" t="n">
        <v>1.165</v>
      </c>
    </row>
    <row r="88">
      <c r="A88" s="4" t="inlineStr">
        <is>
          <t>24-PC-36161</t>
        </is>
      </c>
      <c r="B88" s="4" t="inlineStr">
        <is>
          <t>Phase II: Saltgrass Mine Expansion Data Recovery</t>
        </is>
      </c>
      <c r="C88" s="4" t="inlineStr">
        <is>
          <t>In Progress</t>
        </is>
      </c>
      <c r="D88" s="4" t="inlineStr">
        <is>
          <t>Time and material</t>
        </is>
      </c>
      <c r="E88" s="4" t="inlineStr">
        <is>
          <t>High Desert</t>
        </is>
      </c>
      <c r="F88" s="4" t="inlineStr">
        <is>
          <t>Kathy Hurley</t>
        </is>
      </c>
      <c r="G88" s="5" t="n">
        <v>5700</v>
      </c>
      <c r="H88" s="5" t="n">
        <v>3876</v>
      </c>
      <c r="I88" s="5" t="n">
        <v>3876</v>
      </c>
      <c r="J88" s="5" t="n">
        <v>4244.79</v>
      </c>
      <c r="K88" s="5" t="n">
        <v>4244.79</v>
      </c>
      <c r="L88" s="5" t="n">
        <v>0</v>
      </c>
      <c r="M88" s="5" t="n">
        <v>3255.04</v>
      </c>
      <c r="N88" s="5" t="n">
        <v>989.75</v>
      </c>
      <c r="O88" s="6" t="n">
        <v>0.68</v>
      </c>
      <c r="P88" s="6" t="n">
        <v>0.7668</v>
      </c>
    </row>
    <row r="89">
      <c r="A89" s="4" t="inlineStr">
        <is>
          <t>24-PC-36290</t>
        </is>
      </c>
      <c r="B89" s="4" t="inlineStr">
        <is>
          <t>Task Order 12: Lone Pine Battery Storage GIS Mapping</t>
        </is>
      </c>
      <c r="C89" s="4" t="inlineStr">
        <is>
          <t>Cost Tracking on Closed Project</t>
        </is>
      </c>
      <c r="D89" s="4" t="inlineStr">
        <is>
          <t>Fixed fee</t>
        </is>
      </c>
      <c r="E89" s="4" t="inlineStr">
        <is>
          <t>Island</t>
        </is>
      </c>
      <c r="F89" s="4" t="inlineStr">
        <is>
          <t>Rodney Mcguire</t>
        </is>
      </c>
      <c r="G89" s="5" t="n">
        <v>56300</v>
      </c>
      <c r="H89" s="5" t="n">
        <v>52077.5</v>
      </c>
      <c r="I89" s="5" t="n">
        <v>52077.5</v>
      </c>
      <c r="J89" s="5" t="n">
        <v>37721</v>
      </c>
      <c r="K89" s="5" t="n">
        <v>37721</v>
      </c>
      <c r="L89" s="5" t="n">
        <v>0</v>
      </c>
      <c r="M89" s="5" t="n">
        <v>34891.33</v>
      </c>
      <c r="N89" s="5" t="n">
        <v>2829.669999999998</v>
      </c>
      <c r="O89" s="6" t="n">
        <v>0.925</v>
      </c>
      <c r="P89" s="6" t="n">
        <v>0.925</v>
      </c>
    </row>
    <row r="90">
      <c r="A90" s="4" t="inlineStr">
        <is>
          <t>24-PC-36978</t>
        </is>
      </c>
      <c r="B90" s="4" t="inlineStr">
        <is>
          <t>Slate Ridge Water Main Archaeological Testing</t>
        </is>
      </c>
      <c r="C90" s="4" t="inlineStr">
        <is>
          <t>In Progress</t>
        </is>
      </c>
      <c r="D90" s="4" t="inlineStr">
        <is>
          <t>Fixed fee</t>
        </is>
      </c>
      <c r="E90" s="4" t="inlineStr">
        <is>
          <t>Hill Country</t>
        </is>
      </c>
      <c r="F90" s="4" t="inlineStr">
        <is>
          <t>Glen Delacruz</t>
        </is>
      </c>
      <c r="G90" s="5" t="n">
        <v>141000</v>
      </c>
      <c r="H90" s="5" t="n">
        <v>141000</v>
      </c>
      <c r="I90" s="5" t="n">
        <v>141000</v>
      </c>
      <c r="J90" s="5" t="n">
        <v>113970.3</v>
      </c>
      <c r="K90" s="5" t="n">
        <v>113970.3</v>
      </c>
      <c r="L90" s="5" t="n">
        <v>0</v>
      </c>
      <c r="M90" s="5" t="n">
        <v>138124.06</v>
      </c>
      <c r="N90" s="5" t="n">
        <v>-24153.75999999999</v>
      </c>
      <c r="O90" s="6" t="n">
        <v>1</v>
      </c>
      <c r="P90" s="6" t="n">
        <v>1.2119</v>
      </c>
    </row>
    <row r="91">
      <c r="A91" s="4" t="inlineStr">
        <is>
          <t>24-PC-37125</t>
        </is>
      </c>
      <c r="B91" s="4" t="inlineStr">
        <is>
          <t>Task Order 3: Elk Meadow Cell Tower Phase II Testing</t>
        </is>
      </c>
      <c r="C91" s="4" t="inlineStr">
        <is>
          <t>In Progress</t>
        </is>
      </c>
      <c r="D91" s="4" t="inlineStr">
        <is>
          <t>Fixed fee</t>
        </is>
      </c>
      <c r="E91" s="4" t="inlineStr">
        <is>
          <t>Hill Country</t>
        </is>
      </c>
      <c r="F91" s="4" t="inlineStr">
        <is>
          <t>Gail Meza</t>
        </is>
      </c>
      <c r="G91" s="5" t="n">
        <v>1259200</v>
      </c>
      <c r="H91" s="5" t="n">
        <v>928785.92</v>
      </c>
      <c r="I91" s="5" t="n">
        <v>928785.92</v>
      </c>
      <c r="J91" s="5" t="n">
        <v>853989.4399999999</v>
      </c>
      <c r="K91" s="5" t="n">
        <v>853989.4399999999</v>
      </c>
      <c r="L91" s="5" t="n">
        <v>0</v>
      </c>
      <c r="M91" s="5" t="n">
        <v>629919.62</v>
      </c>
      <c r="N91" s="5" t="n">
        <v>224069.8199999999</v>
      </c>
      <c r="O91" s="6" t="n">
        <v>0.738</v>
      </c>
      <c r="P91" s="6" t="n">
        <v>0.7376</v>
      </c>
    </row>
    <row r="92">
      <c r="A92" s="4" t="inlineStr">
        <is>
          <t>24-PC-37235</t>
        </is>
      </c>
      <c r="B92" s="4" t="inlineStr">
        <is>
          <t>Coyote Springs Bridge Replacement - Phase II Testing</t>
        </is>
      </c>
      <c r="C92" s="4" t="inlineStr">
        <is>
          <t>In Progress</t>
        </is>
      </c>
      <c r="D92" s="4" t="inlineStr">
        <is>
          <t>Time and material</t>
        </is>
      </c>
      <c r="E92" s="4" t="inlineStr">
        <is>
          <t>Hill Country</t>
        </is>
      </c>
      <c r="F92" s="4" t="inlineStr">
        <is>
          <t>Samuel Wilkerson</t>
        </is>
      </c>
      <c r="G92" s="5" t="n">
        <v>67000</v>
      </c>
      <c r="H92" s="5" t="n">
        <v>51564</v>
      </c>
      <c r="I92" s="5" t="n">
        <v>51564</v>
      </c>
      <c r="J92" s="5" t="n">
        <v>40709.2</v>
      </c>
      <c r="K92" s="5" t="n">
        <v>40709.2</v>
      </c>
      <c r="L92" s="5" t="n">
        <v>0</v>
      </c>
      <c r="M92" s="5" t="n">
        <v>34240.46</v>
      </c>
      <c r="N92" s="5" t="n">
        <v>6468.739999999998</v>
      </c>
      <c r="O92" s="6" t="n">
        <v>0.77</v>
      </c>
      <c r="P92" s="6" t="n">
        <v>0.8411</v>
      </c>
    </row>
    <row r="93">
      <c r="A93" s="4" t="inlineStr">
        <is>
          <t>24-PC-37336</t>
        </is>
      </c>
      <c r="B93" s="4" t="inlineStr">
        <is>
          <t>Kestrel Butte Reservoir - Historic Resources Evaluation</t>
        </is>
      </c>
      <c r="C93" s="4" t="inlineStr">
        <is>
          <t>In Progress</t>
        </is>
      </c>
      <c r="D93" s="4" t="inlineStr">
        <is>
          <t>Fixed fee</t>
        </is>
      </c>
      <c r="E93" s="4" t="inlineStr">
        <is>
          <t>Hill Country</t>
        </is>
      </c>
      <c r="F93" s="4" t="inlineStr">
        <is>
          <t>Theresa Fernandez</t>
        </is>
      </c>
      <c r="G93" s="5" t="n">
        <v>298500</v>
      </c>
      <c r="H93" s="5" t="n">
        <v>213069.3</v>
      </c>
      <c r="I93" s="5" t="n">
        <v>213069.3</v>
      </c>
      <c r="J93" s="5" t="n">
        <v>243904.35</v>
      </c>
      <c r="K93" s="5" t="n">
        <v>243904.35</v>
      </c>
      <c r="L93" s="5" t="n">
        <v>0</v>
      </c>
      <c r="M93" s="5" t="n">
        <v>174092.01</v>
      </c>
      <c r="N93" s="5" t="n">
        <v>69812.34</v>
      </c>
      <c r="O93" s="6" t="n">
        <v>0.714</v>
      </c>
      <c r="P93" s="6" t="n">
        <v>0.7138</v>
      </c>
    </row>
    <row r="94">
      <c r="A94" s="4" t="inlineStr">
        <is>
          <t>24-PC-37442</t>
        </is>
      </c>
      <c r="B94" s="4" t="inlineStr">
        <is>
          <t>Cedar Hollow Cultural Resources Monitoring</t>
        </is>
      </c>
      <c r="C94" s="4" t="inlineStr">
        <is>
          <t>In Progress</t>
        </is>
      </c>
      <c r="D94" s="4" t="inlineStr">
        <is>
          <t>Time and material</t>
        </is>
      </c>
      <c r="E94" s="4" t="inlineStr">
        <is>
          <t>PIEDMONT - INACTIVE</t>
        </is>
      </c>
      <c r="F94" s="4" t="inlineStr">
        <is>
          <t>Jody Chung</t>
        </is>
      </c>
      <c r="G94" s="5" t="n">
        <v>309400</v>
      </c>
      <c r="H94" s="5" t="n">
        <v>210392</v>
      </c>
      <c r="I94" s="5" t="n">
        <v>210392</v>
      </c>
      <c r="J94" s="5" t="n">
        <v>184093</v>
      </c>
      <c r="K94" s="5" t="n">
        <v>184093</v>
      </c>
      <c r="L94" s="5" t="n">
        <v>0</v>
      </c>
      <c r="M94" s="5" t="n">
        <v>149432.06</v>
      </c>
      <c r="N94" s="5" t="n">
        <v>34660.94</v>
      </c>
      <c r="O94" s="6" t="n">
        <v>0.68</v>
      </c>
      <c r="P94" s="6" t="n">
        <v>0.8117</v>
      </c>
    </row>
    <row r="95">
      <c r="A95" s="4" t="inlineStr">
        <is>
          <t>24-PC-38141</t>
        </is>
      </c>
      <c r="B95" s="4" t="inlineStr">
        <is>
          <t>Phase II: Willow Springs Airport Apron Cultural Resources Assessment</t>
        </is>
      </c>
      <c r="C95" s="4" t="inlineStr">
        <is>
          <t>In Progress</t>
        </is>
      </c>
      <c r="D95" s="4" t="inlineStr">
        <is>
          <t>Fixed fee</t>
        </is>
      </c>
      <c r="E95" s="4" t="inlineStr">
        <is>
          <t>Prairie</t>
        </is>
      </c>
      <c r="F95" s="4" t="inlineStr">
        <is>
          <t>Sherry Lloyd</t>
        </is>
      </c>
      <c r="G95" s="5" t="n">
        <v>132200</v>
      </c>
      <c r="H95" s="5" t="n">
        <v>121663.66</v>
      </c>
      <c r="I95" s="5" t="n">
        <v>121663.66</v>
      </c>
      <c r="J95" s="5" t="n">
        <v>95580.60000000001</v>
      </c>
      <c r="K95" s="5" t="n">
        <v>95580.60000000001</v>
      </c>
      <c r="L95" s="5" t="n">
        <v>0</v>
      </c>
      <c r="M95" s="5" t="n">
        <v>87961.2</v>
      </c>
      <c r="N95" s="5" t="n">
        <v>7619.400000000009</v>
      </c>
      <c r="O95" s="6" t="n">
        <v>0.92</v>
      </c>
      <c r="P95" s="6" t="n">
        <v>0.9203</v>
      </c>
    </row>
    <row r="96">
      <c r="A96" s="4" t="inlineStr">
        <is>
          <t>24-PC-38486</t>
        </is>
      </c>
      <c r="B96" s="4" t="inlineStr">
        <is>
          <t>Kestrel Butte Phase I Survey</t>
        </is>
      </c>
      <c r="C96" s="4" t="inlineStr">
        <is>
          <t>In Progress</t>
        </is>
      </c>
      <c r="D96" s="4" t="inlineStr">
        <is>
          <t>Fixed fee</t>
        </is>
      </c>
      <c r="E96" s="4" t="inlineStr">
        <is>
          <t>Red Rock</t>
        </is>
      </c>
      <c r="F96" s="4" t="inlineStr">
        <is>
          <t>Jeanette Chung</t>
        </is>
      </c>
      <c r="G96" s="5" t="n">
        <v>153600</v>
      </c>
      <c r="H96" s="5" t="n">
        <v>153600</v>
      </c>
      <c r="I96" s="5" t="n">
        <v>153600</v>
      </c>
      <c r="J96" s="5" t="n">
        <v>105043.81</v>
      </c>
      <c r="K96" s="5" t="n">
        <v>77500.98</v>
      </c>
      <c r="L96" s="5" t="n">
        <v>27542.83</v>
      </c>
      <c r="M96" s="5" t="n">
        <v>119866.24</v>
      </c>
      <c r="N96" s="5" t="n">
        <v>-14822.43000000001</v>
      </c>
      <c r="O96" s="6" t="n">
        <v>1</v>
      </c>
      <c r="P96" s="6" t="n">
        <v>1.1411</v>
      </c>
    </row>
    <row r="97">
      <c r="A97" s="4" t="inlineStr">
        <is>
          <t>24-PC-38790</t>
        </is>
      </c>
      <c r="B97" s="4" t="inlineStr">
        <is>
          <t>Twin Buttes Harbor Dredging Maritime Remote Sensing Survey</t>
        </is>
      </c>
      <c r="C97" s="4" t="inlineStr">
        <is>
          <t>Transferred Entity</t>
        </is>
      </c>
      <c r="D97" s="4" t="inlineStr">
        <is>
          <t>Fixed fee</t>
        </is>
      </c>
      <c r="E97" s="4" t="inlineStr">
        <is>
          <t>Red Rock</t>
        </is>
      </c>
      <c r="F97" s="4" t="inlineStr">
        <is>
          <t>Marisa Odom</t>
        </is>
      </c>
      <c r="G97" s="5" t="n">
        <v>168200</v>
      </c>
      <c r="H97" s="5" t="n">
        <v>168200</v>
      </c>
      <c r="I97" s="5" t="n">
        <v>168200</v>
      </c>
      <c r="J97" s="5" t="n">
        <v>130489.56</v>
      </c>
      <c r="K97" s="5" t="n">
        <v>130489.56</v>
      </c>
      <c r="L97" s="5" t="n">
        <v>0</v>
      </c>
      <c r="M97" s="5" t="n">
        <v>132230.67</v>
      </c>
      <c r="N97" s="5" t="n">
        <v>-1741.110000000015</v>
      </c>
      <c r="O97" s="6" t="n">
        <v>1</v>
      </c>
      <c r="P97" s="6" t="n">
        <v>1.0133</v>
      </c>
    </row>
    <row r="98">
      <c r="A98" s="4" t="inlineStr">
        <is>
          <t>24-PC-39091</t>
        </is>
      </c>
      <c r="B98" s="4" t="inlineStr">
        <is>
          <t>Phase I: Dove Canyon Battery Storage Class III Survey</t>
        </is>
      </c>
      <c r="C98" s="4" t="inlineStr">
        <is>
          <t>In Progress</t>
        </is>
      </c>
      <c r="D98" s="4" t="inlineStr">
        <is>
          <t>Fixed fee</t>
        </is>
      </c>
      <c r="E98" s="4" t="inlineStr">
        <is>
          <t>Red Rock</t>
        </is>
      </c>
      <c r="F98" s="4" t="inlineStr">
        <is>
          <t>Shelia Horne</t>
        </is>
      </c>
      <c r="G98" s="5" t="n">
        <v>100200</v>
      </c>
      <c r="H98" s="5" t="n">
        <v>100200</v>
      </c>
      <c r="I98" s="5" t="n">
        <v>93737.19</v>
      </c>
      <c r="J98" s="5" t="n">
        <v>72685.08</v>
      </c>
      <c r="K98" s="5" t="n">
        <v>72685.08</v>
      </c>
      <c r="L98" s="5" t="n">
        <v>0</v>
      </c>
      <c r="M98" s="5" t="n">
        <v>103671</v>
      </c>
      <c r="N98" s="5" t="n">
        <v>-30985.92</v>
      </c>
      <c r="O98" s="6" t="n">
        <v>1</v>
      </c>
      <c r="P98" s="6" t="n">
        <v>1.4263</v>
      </c>
    </row>
    <row r="99">
      <c r="A99" s="4" t="inlineStr">
        <is>
          <t>24-PC-39206</t>
        </is>
      </c>
      <c r="B99" s="4" t="inlineStr">
        <is>
          <t>Task Order 19: Plover Cove Water Main GIS Mapping</t>
        </is>
      </c>
      <c r="C99" s="4" t="inlineStr">
        <is>
          <t>In Progress</t>
        </is>
      </c>
      <c r="D99" s="4" t="inlineStr">
        <is>
          <t>Time and material</t>
        </is>
      </c>
      <c r="E99" s="4" t="inlineStr">
        <is>
          <t>Red Rock</t>
        </is>
      </c>
      <c r="F99" s="4" t="inlineStr">
        <is>
          <t>Lydia Cisneros</t>
        </is>
      </c>
      <c r="G99" s="5" t="n">
        <v>126600</v>
      </c>
      <c r="H99" s="5" t="n">
        <v>86088</v>
      </c>
      <c r="I99" s="5" t="n">
        <v>86088</v>
      </c>
      <c r="J99" s="5" t="n">
        <v>82581.17999999999</v>
      </c>
      <c r="K99" s="5" t="n">
        <v>82581.17999999999</v>
      </c>
      <c r="L99" s="5" t="n">
        <v>0</v>
      </c>
      <c r="M99" s="5" t="n">
        <v>59856.61</v>
      </c>
      <c r="N99" s="5" t="n">
        <v>22724.56999999999</v>
      </c>
      <c r="O99" s="6" t="n">
        <v>0.68</v>
      </c>
      <c r="P99" s="6" t="n">
        <v>0.7248</v>
      </c>
    </row>
    <row r="100">
      <c r="A100" s="4" t="inlineStr">
        <is>
          <t>24-PC-39213</t>
        </is>
      </c>
      <c r="B100" s="4" t="inlineStr">
        <is>
          <t>Task Order 17: Sage Flat School Campus Maritime Remote Sensing Survey</t>
        </is>
      </c>
      <c r="C100" s="4" t="inlineStr">
        <is>
          <t>In Progress</t>
        </is>
      </c>
      <c r="D100" s="4" t="inlineStr">
        <is>
          <t>Fixed fee</t>
        </is>
      </c>
      <c r="E100" s="4" t="inlineStr">
        <is>
          <t>Red Rock</t>
        </is>
      </c>
      <c r="F100" s="4" t="inlineStr">
        <is>
          <t>Javier Newman</t>
        </is>
      </c>
      <c r="G100" s="5" t="n">
        <v>597800</v>
      </c>
      <c r="H100" s="5" t="n">
        <v>458990.84</v>
      </c>
      <c r="I100" s="5" t="n">
        <v>458990.84</v>
      </c>
      <c r="J100" s="5" t="n">
        <v>435557.08</v>
      </c>
      <c r="K100" s="5" t="n">
        <v>435557.08</v>
      </c>
      <c r="L100" s="5" t="n">
        <v>0</v>
      </c>
      <c r="M100" s="5" t="n">
        <v>334422.57</v>
      </c>
      <c r="N100" s="5" t="n">
        <v>101134.51</v>
      </c>
      <c r="O100" s="6" t="n">
        <v>0.768</v>
      </c>
      <c r="P100" s="6" t="n">
        <v>0.7678</v>
      </c>
    </row>
    <row r="101">
      <c r="A101" s="4" t="inlineStr">
        <is>
          <t>24-PC-39308</t>
        </is>
      </c>
      <c r="B101" s="4" t="inlineStr">
        <is>
          <t>Pebble Beach Road Reservoir GIS Mapping</t>
        </is>
      </c>
      <c r="C101" s="4" t="inlineStr">
        <is>
          <t>Cost Tracking on Closed Project</t>
        </is>
      </c>
      <c r="D101" s="4" t="inlineStr">
        <is>
          <t>Fixed fee</t>
        </is>
      </c>
      <c r="E101" s="4" t="inlineStr">
        <is>
          <t>Red Rock</t>
        </is>
      </c>
      <c r="F101" s="4" t="inlineStr">
        <is>
          <t>Shelia Horne</t>
        </is>
      </c>
      <c r="G101" s="5" t="n">
        <v>11000</v>
      </c>
      <c r="H101" s="5" t="n">
        <v>11000</v>
      </c>
      <c r="I101" s="5" t="n">
        <v>11000</v>
      </c>
      <c r="J101" s="5" t="n">
        <v>7227</v>
      </c>
      <c r="K101" s="5" t="n">
        <v>7227</v>
      </c>
      <c r="L101" s="5" t="n">
        <v>0</v>
      </c>
      <c r="M101" s="5" t="n">
        <v>7427.79</v>
      </c>
      <c r="N101" s="5" t="n">
        <v>-200.79</v>
      </c>
      <c r="O101" s="6" t="n">
        <v>1</v>
      </c>
      <c r="P101" s="6" t="n">
        <v>1.0278</v>
      </c>
    </row>
    <row r="102">
      <c r="A102" s="4" t="inlineStr">
        <is>
          <t>24-PC-39511</t>
        </is>
      </c>
      <c r="B102" s="4" t="inlineStr">
        <is>
          <t>Juniper Wash Pipeline - Archaeological Testing</t>
        </is>
      </c>
      <c r="C102" s="4" t="inlineStr">
        <is>
          <t>In Progress</t>
        </is>
      </c>
      <c r="D102" s="4" t="inlineStr">
        <is>
          <t>Time and material</t>
        </is>
      </c>
      <c r="E102" s="4" t="inlineStr">
        <is>
          <t>Red Rock</t>
        </is>
      </c>
      <c r="F102" s="4" t="inlineStr">
        <is>
          <t>Tina Aguirre</t>
        </is>
      </c>
      <c r="G102" s="5" t="n">
        <v>33000</v>
      </c>
      <c r="H102" s="5" t="n">
        <v>29186</v>
      </c>
      <c r="I102" s="5" t="n">
        <v>29186</v>
      </c>
      <c r="J102" s="5" t="n">
        <v>23227.58</v>
      </c>
      <c r="K102" s="5" t="n">
        <v>20462.4</v>
      </c>
      <c r="L102" s="5" t="n">
        <v>2765.18</v>
      </c>
      <c r="M102" s="5" t="n">
        <v>29633.53</v>
      </c>
      <c r="N102" s="5" t="n">
        <v>-6405.949999999997</v>
      </c>
      <c r="O102" s="6" t="n">
        <v>0.884</v>
      </c>
      <c r="P102" s="6" t="n">
        <v>1.2758</v>
      </c>
    </row>
    <row r="103">
      <c r="A103" s="4" t="inlineStr">
        <is>
          <t>24-PC-39533</t>
        </is>
      </c>
      <c r="B103" s="4" t="inlineStr">
        <is>
          <t>Elk Meadow Architectural History Survey</t>
        </is>
      </c>
      <c r="C103" s="4" t="inlineStr">
        <is>
          <t>In Progress</t>
        </is>
      </c>
      <c r="D103" s="4" t="inlineStr">
        <is>
          <t>Fixed fee</t>
        </is>
      </c>
      <c r="E103" s="4" t="inlineStr">
        <is>
          <t>Red Rock</t>
        </is>
      </c>
      <c r="F103" s="4" t="inlineStr">
        <is>
          <t>Jeanette Chung</t>
        </is>
      </c>
      <c r="G103" s="5" t="n">
        <v>67000</v>
      </c>
      <c r="H103" s="5" t="n">
        <v>63536.1</v>
      </c>
      <c r="I103" s="5" t="n">
        <v>63536.1</v>
      </c>
      <c r="J103" s="5" t="n">
        <v>52641.9</v>
      </c>
      <c r="K103" s="5" t="n">
        <v>52641.9</v>
      </c>
      <c r="L103" s="5" t="n">
        <v>0</v>
      </c>
      <c r="M103" s="5" t="n">
        <v>49919.2</v>
      </c>
      <c r="N103" s="5" t="n">
        <v>2722.700000000004</v>
      </c>
      <c r="O103" s="6" t="n">
        <v>0.948</v>
      </c>
      <c r="P103" s="6" t="n">
        <v>0.9483</v>
      </c>
    </row>
    <row r="104">
      <c r="A104" s="4" t="inlineStr">
        <is>
          <t>24-PC-39825</t>
        </is>
      </c>
      <c r="B104" s="4" t="inlineStr">
        <is>
          <t>On-Call: Twin Buttes Housing Development GIS Mapping</t>
        </is>
      </c>
      <c r="C104" s="4" t="inlineStr">
        <is>
          <t>In Progress</t>
        </is>
      </c>
      <c r="D104" s="4" t="inlineStr">
        <is>
          <t>Fixed fee</t>
        </is>
      </c>
      <c r="E104" s="4" t="inlineStr">
        <is>
          <t>Red Rock</t>
        </is>
      </c>
      <c r="F104" s="4" t="inlineStr">
        <is>
          <t>Bruce Suarez</t>
        </is>
      </c>
      <c r="G104" s="5" t="n">
        <v>17800</v>
      </c>
      <c r="H104" s="5" t="n">
        <v>17800</v>
      </c>
      <c r="I104" s="5" t="n">
        <v>17800</v>
      </c>
      <c r="J104" s="5" t="n">
        <v>14308.95</v>
      </c>
      <c r="K104" s="5" t="n">
        <v>10538.95</v>
      </c>
      <c r="L104" s="5" t="n">
        <v>3770</v>
      </c>
      <c r="M104" s="5" t="n">
        <v>14659.16</v>
      </c>
      <c r="N104" s="5" t="n">
        <v>-350.2099999999991</v>
      </c>
      <c r="O104" s="6" t="n">
        <v>1</v>
      </c>
      <c r="P104" s="6" t="n">
        <v>1.0245</v>
      </c>
    </row>
    <row r="105">
      <c r="A105" s="4" t="inlineStr">
        <is>
          <t>24-PC-39923</t>
        </is>
      </c>
      <c r="B105" s="4" t="inlineStr">
        <is>
          <t>Fern Valley Fiber Route - Data Recovery</t>
        </is>
      </c>
      <c r="C105" s="4" t="inlineStr">
        <is>
          <t>In Progress</t>
        </is>
      </c>
      <c r="D105" s="4" t="inlineStr">
        <is>
          <t>Time and material</t>
        </is>
      </c>
      <c r="E105" s="4" t="inlineStr">
        <is>
          <t>Red Rock</t>
        </is>
      </c>
      <c r="F105" s="4" t="inlineStr">
        <is>
          <t>Lydia Cisneros</t>
        </is>
      </c>
      <c r="G105" s="5" t="n">
        <v>414900</v>
      </c>
      <c r="H105" s="5" t="n">
        <v>339174.65</v>
      </c>
      <c r="I105" s="5" t="n">
        <v>331243.28</v>
      </c>
      <c r="J105" s="5" t="n">
        <v>270722.25</v>
      </c>
      <c r="K105" s="5" t="n">
        <v>270722.25</v>
      </c>
      <c r="L105" s="5" t="n">
        <v>0</v>
      </c>
      <c r="M105" s="5" t="n">
        <v>215589.53</v>
      </c>
      <c r="N105" s="5" t="n">
        <v>55132.72</v>
      </c>
      <c r="O105" s="6" t="n">
        <v>0.8169999999999999</v>
      </c>
      <c r="P105" s="6" t="n">
        <v>0.7963</v>
      </c>
    </row>
    <row r="106">
      <c r="A106" s="4" t="inlineStr">
        <is>
          <t>24-PC-40067</t>
        </is>
      </c>
      <c r="B106" s="4" t="inlineStr">
        <is>
          <t>Saltgrass Fiber Route Class III Survey</t>
        </is>
      </c>
      <c r="C106" s="4" t="inlineStr">
        <is>
          <t>In Progress</t>
        </is>
      </c>
      <c r="D106" s="4" t="inlineStr">
        <is>
          <t>Time and material</t>
        </is>
      </c>
      <c r="E106" s="4" t="inlineStr">
        <is>
          <t>Red Rock</t>
        </is>
      </c>
      <c r="F106" s="4" t="inlineStr">
        <is>
          <t>Marisa Odom</t>
        </is>
      </c>
      <c r="G106" s="5" t="n">
        <v>218100</v>
      </c>
      <c r="H106" s="5" t="n">
        <v>148308</v>
      </c>
      <c r="I106" s="5" t="n">
        <v>148308</v>
      </c>
      <c r="J106" s="5" t="n">
        <v>163684.05</v>
      </c>
      <c r="K106" s="5" t="n">
        <v>163684.05</v>
      </c>
      <c r="L106" s="5" t="n">
        <v>0</v>
      </c>
      <c r="M106" s="5" t="n">
        <v>137568.33</v>
      </c>
      <c r="N106" s="5" t="n">
        <v>26115.72</v>
      </c>
      <c r="O106" s="6" t="n">
        <v>0.68</v>
      </c>
      <c r="P106" s="6" t="n">
        <v>0.8405</v>
      </c>
    </row>
    <row r="107">
      <c r="A107" s="4" t="inlineStr">
        <is>
          <t>24-PC-40102</t>
        </is>
      </c>
      <c r="B107" s="4" t="inlineStr">
        <is>
          <t>Redbud Class III Survey</t>
        </is>
      </c>
      <c r="C107" s="4" t="inlineStr">
        <is>
          <t>Final Reporting/Review</t>
        </is>
      </c>
      <c r="D107" s="4" t="inlineStr">
        <is>
          <t>Fixed fee</t>
        </is>
      </c>
      <c r="E107" s="4" t="inlineStr">
        <is>
          <t>Sierra</t>
        </is>
      </c>
      <c r="F107" s="4" t="inlineStr">
        <is>
          <t>Benjamin Mathis</t>
        </is>
      </c>
      <c r="G107" s="5" t="n">
        <v>453900</v>
      </c>
      <c r="H107" s="5" t="n">
        <v>453900</v>
      </c>
      <c r="I107" s="5" t="n">
        <v>453900</v>
      </c>
      <c r="J107" s="5" t="n">
        <v>322187.01</v>
      </c>
      <c r="K107" s="5" t="n">
        <v>278794.4</v>
      </c>
      <c r="L107" s="5" t="n">
        <v>43392.61</v>
      </c>
      <c r="M107" s="5" t="n">
        <v>359994.61</v>
      </c>
      <c r="N107" s="5" t="n">
        <v>-37807.59999999998</v>
      </c>
      <c r="O107" s="6" t="n">
        <v>1</v>
      </c>
      <c r="P107" s="6" t="n">
        <v>1.1173</v>
      </c>
    </row>
    <row r="108">
      <c r="A108" s="4" t="inlineStr">
        <is>
          <t>24-PC-40634</t>
        </is>
      </c>
      <c r="B108" s="4" t="inlineStr">
        <is>
          <t>Phase I: Windmill Flat Solar Cultural Resources Assessment</t>
        </is>
      </c>
      <c r="C108" s="4" t="inlineStr">
        <is>
          <t>In Progress</t>
        </is>
      </c>
      <c r="D108" s="4" t="inlineStr">
        <is>
          <t>Fixed fee</t>
        </is>
      </c>
      <c r="E108" s="4" t="inlineStr">
        <is>
          <t>Sierra</t>
        </is>
      </c>
      <c r="F108" s="4" t="inlineStr">
        <is>
          <t>Angelica Poole</t>
        </is>
      </c>
      <c r="G108" s="5" t="n">
        <v>460500</v>
      </c>
      <c r="H108" s="5" t="n">
        <v>326540.55</v>
      </c>
      <c r="I108" s="5" t="n">
        <v>326540.55</v>
      </c>
      <c r="J108" s="5" t="n">
        <v>381017.7</v>
      </c>
      <c r="K108" s="5" t="n">
        <v>381017.7</v>
      </c>
      <c r="L108" s="5" t="n">
        <v>0</v>
      </c>
      <c r="M108" s="5" t="n">
        <v>270177.47</v>
      </c>
      <c r="N108" s="5" t="n">
        <v>110840.23</v>
      </c>
      <c r="O108" s="6" t="n">
        <v>0.709</v>
      </c>
      <c r="P108" s="6" t="n">
        <v>0.7091</v>
      </c>
    </row>
    <row r="109">
      <c r="A109" s="4" t="inlineStr">
        <is>
          <t>24-PC-40659</t>
        </is>
      </c>
      <c r="B109" s="4" t="inlineStr">
        <is>
          <t>Phase III: Meadowlark Water Main Built Environment Survey</t>
        </is>
      </c>
      <c r="C109" s="4" t="inlineStr">
        <is>
          <t>Cost Tracking on Closed Project</t>
        </is>
      </c>
      <c r="D109" s="4" t="inlineStr">
        <is>
          <t>Fixed fee</t>
        </is>
      </c>
      <c r="E109" s="4" t="inlineStr">
        <is>
          <t>Sierra North</t>
        </is>
      </c>
      <c r="F109" s="4" t="inlineStr">
        <is>
          <t>Louis Huff</t>
        </is>
      </c>
      <c r="G109" s="5" t="n">
        <v>50300</v>
      </c>
      <c r="H109" s="5" t="n">
        <v>46200.55</v>
      </c>
      <c r="I109" s="5" t="n">
        <v>46200.55</v>
      </c>
      <c r="J109" s="5" t="n">
        <v>35350.84</v>
      </c>
      <c r="K109" s="5" t="n">
        <v>35350.84</v>
      </c>
      <c r="L109" s="5" t="n">
        <v>0</v>
      </c>
      <c r="M109" s="5" t="n">
        <v>32471.24</v>
      </c>
      <c r="N109" s="5" t="n">
        <v>2879.599999999995</v>
      </c>
      <c r="O109" s="6" t="n">
        <v>0.918</v>
      </c>
      <c r="P109" s="6" t="n">
        <v>0.9185</v>
      </c>
    </row>
    <row r="110">
      <c r="A110" s="4" t="inlineStr">
        <is>
          <t>24-PC-40670</t>
        </is>
      </c>
      <c r="B110" s="4" t="inlineStr">
        <is>
          <t>Sumac Ridge Cultural Resources Monitoring</t>
        </is>
      </c>
      <c r="C110" s="4" t="inlineStr">
        <is>
          <t>Final Reporting/Review</t>
        </is>
      </c>
      <c r="D110" s="4" t="inlineStr">
        <is>
          <t>Fixed fee</t>
        </is>
      </c>
      <c r="E110" s="4" t="inlineStr">
        <is>
          <t>Sierra North</t>
        </is>
      </c>
      <c r="F110" s="4" t="inlineStr">
        <is>
          <t>Donna Herring</t>
        </is>
      </c>
      <c r="G110" s="5" t="n">
        <v>22100</v>
      </c>
      <c r="H110" s="5" t="n">
        <v>22100</v>
      </c>
      <c r="I110" s="5" t="n">
        <v>22100</v>
      </c>
      <c r="J110" s="5" t="n">
        <v>17918.68</v>
      </c>
      <c r="K110" s="5" t="n">
        <v>17918.68</v>
      </c>
      <c r="L110" s="5" t="n">
        <v>0</v>
      </c>
      <c r="M110" s="5" t="n">
        <v>33602.1</v>
      </c>
      <c r="N110" s="5" t="n">
        <v>-15683.42</v>
      </c>
      <c r="O110" s="6" t="n">
        <v>1</v>
      </c>
      <c r="P110" s="6" t="n">
        <v>1.8753</v>
      </c>
    </row>
    <row r="111">
      <c r="A111" s="4" t="inlineStr">
        <is>
          <t>24-PC-40782</t>
        </is>
      </c>
      <c r="B111" s="4" t="inlineStr">
        <is>
          <t>Saltgrass Battery Storage - Historic Resources Evaluation</t>
        </is>
      </c>
      <c r="C111" s="4" t="inlineStr">
        <is>
          <t>In Progress</t>
        </is>
      </c>
      <c r="D111" s="4" t="inlineStr">
        <is>
          <t>Time and material</t>
        </is>
      </c>
      <c r="E111" s="4" t="inlineStr">
        <is>
          <t>Coastal Bend</t>
        </is>
      </c>
      <c r="F111" s="4" t="inlineStr">
        <is>
          <t>Alexis Nixon</t>
        </is>
      </c>
      <c r="G111" s="5" t="n">
        <v>48400</v>
      </c>
      <c r="H111" s="5" t="n">
        <v>48400</v>
      </c>
      <c r="I111" s="5" t="n">
        <v>47376.63</v>
      </c>
      <c r="J111" s="5" t="n">
        <v>37137.32</v>
      </c>
      <c r="K111" s="5" t="n">
        <v>37137.32</v>
      </c>
      <c r="L111" s="5" t="n">
        <v>0</v>
      </c>
      <c r="M111" s="5" t="n">
        <v>47362.38</v>
      </c>
      <c r="N111" s="5" t="n">
        <v>-10225.06</v>
      </c>
      <c r="O111" s="6" t="n">
        <v>1</v>
      </c>
      <c r="P111" s="6" t="n">
        <v>1.2753</v>
      </c>
    </row>
    <row r="112">
      <c r="A112" s="4" t="inlineStr">
        <is>
          <t>24-PC-40824</t>
        </is>
      </c>
      <c r="B112" s="4" t="inlineStr">
        <is>
          <t>Slate Ridge Water Main Maritime Remote Sensing Survey</t>
        </is>
      </c>
      <c r="C112" s="4" t="inlineStr">
        <is>
          <t>Final Reporting/Review</t>
        </is>
      </c>
      <c r="D112" s="4" t="inlineStr">
        <is>
          <t>Fixed fee</t>
        </is>
      </c>
      <c r="E112" s="4" t="inlineStr">
        <is>
          <t>Coastal Bend</t>
        </is>
      </c>
      <c r="F112" s="4" t="inlineStr">
        <is>
          <t>Duane Ballard</t>
        </is>
      </c>
      <c r="G112" s="5" t="n">
        <v>31800</v>
      </c>
      <c r="H112" s="5" t="n">
        <v>31800</v>
      </c>
      <c r="I112" s="5" t="n">
        <v>31800</v>
      </c>
      <c r="J112" s="5" t="n">
        <v>20975.28</v>
      </c>
      <c r="K112" s="5" t="n">
        <v>20975.28</v>
      </c>
      <c r="L112" s="5" t="n">
        <v>0</v>
      </c>
      <c r="M112" s="5" t="n">
        <v>22323.11</v>
      </c>
      <c r="N112" s="5" t="n">
        <v>-1347.830000000002</v>
      </c>
      <c r="O112" s="6" t="n">
        <v>1</v>
      </c>
      <c r="P112" s="6" t="n">
        <v>1.0643</v>
      </c>
    </row>
    <row r="113">
      <c r="A113" s="4" t="inlineStr">
        <is>
          <t>24-PC-40888</t>
        </is>
      </c>
      <c r="B113" s="4" t="inlineStr">
        <is>
          <t>Pine Hollow Battery Storage - Archaeological Testing</t>
        </is>
      </c>
      <c r="C113" s="4" t="inlineStr">
        <is>
          <t>Lab/Curation</t>
        </is>
      </c>
      <c r="D113" s="4" t="inlineStr">
        <is>
          <t>Fixed fee</t>
        </is>
      </c>
      <c r="E113" s="4" t="inlineStr">
        <is>
          <t>Coastal Bend</t>
        </is>
      </c>
      <c r="F113" s="4" t="inlineStr">
        <is>
          <t>Diane Daniels</t>
        </is>
      </c>
      <c r="G113" s="5" t="n">
        <v>579300</v>
      </c>
      <c r="H113" s="5" t="n">
        <v>579300</v>
      </c>
      <c r="I113" s="5" t="n">
        <v>579300</v>
      </c>
      <c r="J113" s="5" t="n">
        <v>392475.75</v>
      </c>
      <c r="K113" s="5" t="n">
        <v>392475.75</v>
      </c>
      <c r="L113" s="5" t="n">
        <v>0</v>
      </c>
      <c r="M113" s="5" t="n">
        <v>413750.74</v>
      </c>
      <c r="N113" s="5" t="n">
        <v>-21274.98999999999</v>
      </c>
      <c r="O113" s="6" t="n">
        <v>1</v>
      </c>
      <c r="P113" s="6" t="n">
        <v>1.0542</v>
      </c>
    </row>
    <row r="114">
      <c r="A114" s="4" t="inlineStr">
        <is>
          <t>24-PC-40956</t>
        </is>
      </c>
      <c r="B114" s="4" t="inlineStr">
        <is>
          <t>Foxglove Airport Apron - Maritime Remote Sensing Survey</t>
        </is>
      </c>
      <c r="C114" s="4" t="inlineStr">
        <is>
          <t>In Progress</t>
        </is>
      </c>
      <c r="D114" s="4" t="inlineStr">
        <is>
          <t>Fixed fee</t>
        </is>
      </c>
      <c r="E114" s="4" t="inlineStr">
        <is>
          <t>Coastal Bend</t>
        </is>
      </c>
      <c r="F114" s="4" t="inlineStr">
        <is>
          <t>Diane Daniels</t>
        </is>
      </c>
      <c r="G114" s="5" t="n">
        <v>8800</v>
      </c>
      <c r="H114" s="5" t="n">
        <v>8800</v>
      </c>
      <c r="I114" s="5" t="n">
        <v>8800</v>
      </c>
      <c r="J114" s="5" t="n">
        <v>6914.16</v>
      </c>
      <c r="K114" s="5" t="n">
        <v>6914.16</v>
      </c>
      <c r="L114" s="5" t="n">
        <v>0</v>
      </c>
      <c r="M114" s="5" t="n">
        <v>7269.9</v>
      </c>
      <c r="N114" s="5" t="n">
        <v>-355.7399999999998</v>
      </c>
      <c r="O114" s="6" t="n">
        <v>1</v>
      </c>
      <c r="P114" s="6" t="n">
        <v>1.0515</v>
      </c>
    </row>
    <row r="115">
      <c r="A115" s="4" t="inlineStr">
        <is>
          <t>24-PC-41023</t>
        </is>
      </c>
      <c r="B115" s="4" t="inlineStr">
        <is>
          <t>Phase I: Bramble Creek Levee Repair Phase I Survey</t>
        </is>
      </c>
      <c r="C115" s="4" t="inlineStr">
        <is>
          <t>In Progress</t>
        </is>
      </c>
      <c r="D115" s="4" t="inlineStr">
        <is>
          <t>Time and material</t>
        </is>
      </c>
      <c r="E115" s="4" t="inlineStr">
        <is>
          <t>Coastal Bend</t>
        </is>
      </c>
      <c r="F115" s="4" t="inlineStr">
        <is>
          <t>Alexis Nixon</t>
        </is>
      </c>
      <c r="G115" s="5" t="n">
        <v>60600</v>
      </c>
      <c r="H115" s="5" t="n">
        <v>41208</v>
      </c>
      <c r="I115" s="5" t="n">
        <v>41208</v>
      </c>
      <c r="J115" s="5" t="n">
        <v>39983.88</v>
      </c>
      <c r="K115" s="5" t="n">
        <v>39983.88</v>
      </c>
      <c r="L115" s="5" t="n">
        <v>0</v>
      </c>
      <c r="M115" s="5" t="n">
        <v>31771.04</v>
      </c>
      <c r="N115" s="5" t="n">
        <v>8212.839999999997</v>
      </c>
      <c r="O115" s="6" t="n">
        <v>0.68</v>
      </c>
      <c r="P115" s="6" t="n">
        <v>0.7946</v>
      </c>
    </row>
    <row r="116">
      <c r="A116" s="4" t="inlineStr">
        <is>
          <t>24-PC-41119</t>
        </is>
      </c>
      <c r="B116" s="4" t="inlineStr">
        <is>
          <t>Rushgrass Draw Cultural Resources Assessment</t>
        </is>
      </c>
      <c r="C116" s="4" t="inlineStr">
        <is>
          <t>Transferred Entity</t>
        </is>
      </c>
      <c r="D116" s="4" t="inlineStr">
        <is>
          <t>Fixed fee</t>
        </is>
      </c>
      <c r="E116" s="4" t="inlineStr">
        <is>
          <t>Coastal Bend</t>
        </is>
      </c>
      <c r="F116" s="4" t="inlineStr">
        <is>
          <t>Alexis Nixon</t>
        </is>
      </c>
      <c r="G116" s="5" t="n">
        <v>18000</v>
      </c>
      <c r="H116" s="5" t="n">
        <v>18000</v>
      </c>
      <c r="I116" s="5" t="n">
        <v>15244.1</v>
      </c>
      <c r="J116" s="5" t="n">
        <v>12312</v>
      </c>
      <c r="K116" s="5" t="n">
        <v>12312</v>
      </c>
      <c r="L116" s="5" t="n">
        <v>0</v>
      </c>
      <c r="M116" s="5" t="n">
        <v>22722.22</v>
      </c>
      <c r="N116" s="5" t="n">
        <v>-10410.22</v>
      </c>
      <c r="O116" s="6" t="n">
        <v>1</v>
      </c>
      <c r="P116" s="6" t="n">
        <v>1.8455</v>
      </c>
    </row>
    <row r="117">
      <c r="A117" s="4" t="inlineStr">
        <is>
          <t>24-PC-41154</t>
        </is>
      </c>
      <c r="B117" s="4" t="inlineStr">
        <is>
          <t>Lantern Bay Mine Expansion Data Recovery</t>
        </is>
      </c>
      <c r="C117" s="4" t="inlineStr">
        <is>
          <t>In Progress</t>
        </is>
      </c>
      <c r="D117" s="4" t="inlineStr">
        <is>
          <t>Fixed fee</t>
        </is>
      </c>
      <c r="E117" s="4" t="inlineStr">
        <is>
          <t>Coastal Bend</t>
        </is>
      </c>
      <c r="F117" s="4" t="inlineStr">
        <is>
          <t>Alexis Nixon</t>
        </is>
      </c>
      <c r="G117" s="5" t="n">
        <v>194900</v>
      </c>
      <c r="H117" s="5" t="n">
        <v>187591.25</v>
      </c>
      <c r="I117" s="5" t="n">
        <v>187591.25</v>
      </c>
      <c r="J117" s="5" t="n">
        <v>131089.74</v>
      </c>
      <c r="K117" s="5" t="n">
        <v>131089.74</v>
      </c>
      <c r="L117" s="5" t="n">
        <v>0</v>
      </c>
      <c r="M117" s="5" t="n">
        <v>126178.41</v>
      </c>
      <c r="N117" s="5" t="n">
        <v>4911.329999999987</v>
      </c>
      <c r="O117" s="6" t="n">
        <v>0.963</v>
      </c>
      <c r="P117" s="6" t="n">
        <v>0.9625</v>
      </c>
    </row>
    <row r="118">
      <c r="A118" s="4" t="inlineStr">
        <is>
          <t>24-PC-42437</t>
        </is>
      </c>
      <c r="B118" s="4" t="inlineStr">
        <is>
          <t>Task Order 36: Wren Hollow Water Main Maritime Remote Sensing Survey</t>
        </is>
      </c>
      <c r="C118" s="4" t="inlineStr">
        <is>
          <t>In Progress</t>
        </is>
      </c>
      <c r="D118" s="4" t="inlineStr">
        <is>
          <t>Time and material</t>
        </is>
      </c>
      <c r="E118" s="4" t="inlineStr">
        <is>
          <t>Paleontology</t>
        </is>
      </c>
      <c r="F118" s="4" t="inlineStr">
        <is>
          <t>Charlene Sparks</t>
        </is>
      </c>
      <c r="G118" s="5" t="n">
        <v>263500</v>
      </c>
      <c r="H118" s="5" t="n">
        <v>179180</v>
      </c>
      <c r="I118" s="5" t="n">
        <v>179180</v>
      </c>
      <c r="J118" s="5" t="n">
        <v>173567.45</v>
      </c>
      <c r="K118" s="5" t="n">
        <v>173567.45</v>
      </c>
      <c r="L118" s="5" t="n">
        <v>0</v>
      </c>
      <c r="M118" s="5" t="n">
        <v>177335</v>
      </c>
      <c r="N118" s="5" t="n">
        <v>-3767.549999999988</v>
      </c>
      <c r="O118" s="6" t="n">
        <v>0.68</v>
      </c>
      <c r="P118" s="6" t="n">
        <v>1.0217</v>
      </c>
    </row>
    <row r="119">
      <c r="A119" s="4" t="inlineStr">
        <is>
          <t>24-PC-43044</t>
        </is>
      </c>
      <c r="B119" s="4" t="inlineStr">
        <is>
          <t>Plover Cove Airport Apron Historic Resources Evaluation</t>
        </is>
      </c>
      <c r="C119" s="4" t="inlineStr">
        <is>
          <t>In Progress</t>
        </is>
      </c>
      <c r="D119" s="4" t="inlineStr">
        <is>
          <t>Fixed fee</t>
        </is>
      </c>
      <c r="E119" s="4" t="inlineStr">
        <is>
          <t>Geospatial</t>
        </is>
      </c>
      <c r="F119" s="4" t="inlineStr">
        <is>
          <t>Sylvia Callahan</t>
        </is>
      </c>
      <c r="G119" s="5" t="n">
        <v>639100</v>
      </c>
      <c r="H119" s="5" t="n">
        <v>451268.51</v>
      </c>
      <c r="I119" s="5" t="n">
        <v>451268.51</v>
      </c>
      <c r="J119" s="5" t="n">
        <v>498050.63</v>
      </c>
      <c r="K119" s="5" t="n">
        <v>498050.63</v>
      </c>
      <c r="L119" s="5" t="n">
        <v>0</v>
      </c>
      <c r="M119" s="5" t="n">
        <v>351673.07</v>
      </c>
      <c r="N119" s="5" t="n">
        <v>146377.56</v>
      </c>
      <c r="O119" s="6" t="n">
        <v>0.706</v>
      </c>
      <c r="P119" s="6" t="n">
        <v>0.7060999999999999</v>
      </c>
    </row>
    <row r="120">
      <c r="A120" s="4" t="inlineStr">
        <is>
          <t>24-PC-43157</t>
        </is>
      </c>
      <c r="B120" s="4" t="inlineStr">
        <is>
          <t>Thistle Down Solar - Maritime Remote Sensing Survey</t>
        </is>
      </c>
      <c r="C120" s="4" t="inlineStr">
        <is>
          <t>In Progress</t>
        </is>
      </c>
      <c r="D120" s="4" t="inlineStr">
        <is>
          <t>Time and material</t>
        </is>
      </c>
      <c r="E120" s="4" t="inlineStr">
        <is>
          <t>Geospatial</t>
        </is>
      </c>
      <c r="F120" s="4" t="inlineStr">
        <is>
          <t>Sylvia Callahan</t>
        </is>
      </c>
      <c r="G120" s="5" t="n">
        <v>19700</v>
      </c>
      <c r="H120" s="5" t="n">
        <v>13396</v>
      </c>
      <c r="I120" s="5" t="n">
        <v>13396</v>
      </c>
      <c r="J120" s="5" t="n">
        <v>14170.21</v>
      </c>
      <c r="K120" s="5" t="n">
        <v>14170.21</v>
      </c>
      <c r="L120" s="5" t="n">
        <v>0</v>
      </c>
      <c r="M120" s="5" t="n">
        <v>18919.28</v>
      </c>
      <c r="N120" s="5" t="n">
        <v>-4749.07</v>
      </c>
      <c r="O120" s="6" t="n">
        <v>0.68</v>
      </c>
      <c r="P120" s="6" t="n">
        <v>1.3351</v>
      </c>
    </row>
    <row r="121">
      <c r="A121" s="4" t="inlineStr">
        <is>
          <t>24-PC-43715</t>
        </is>
      </c>
      <c r="B121" s="4" t="inlineStr">
        <is>
          <t>Tamarack Fiber Route - Cultural Resources Monitoring</t>
        </is>
      </c>
      <c r="C121" s="4" t="inlineStr">
        <is>
          <t>In Progress</t>
        </is>
      </c>
      <c r="D121" s="4" t="inlineStr">
        <is>
          <t>Time and material</t>
        </is>
      </c>
      <c r="E121" s="4" t="inlineStr">
        <is>
          <t>Meridian Southwest</t>
        </is>
      </c>
      <c r="F121" s="4" t="inlineStr">
        <is>
          <t>Lynn Tran</t>
        </is>
      </c>
      <c r="G121" s="5" t="n">
        <v>1003600</v>
      </c>
      <c r="H121" s="5" t="n">
        <v>682448</v>
      </c>
      <c r="I121" s="5" t="n">
        <v>682448</v>
      </c>
      <c r="J121" s="5" t="n">
        <v>771166.24</v>
      </c>
      <c r="K121" s="5" t="n">
        <v>771166.24</v>
      </c>
      <c r="L121" s="5" t="n">
        <v>0</v>
      </c>
      <c r="M121" s="5" t="n">
        <v>614867.84</v>
      </c>
      <c r="N121" s="5" t="n">
        <v>156298.4</v>
      </c>
      <c r="O121" s="6" t="n">
        <v>0.68</v>
      </c>
      <c r="P121" s="6" t="n">
        <v>0.7973</v>
      </c>
    </row>
    <row r="122">
      <c r="A122" s="4" t="inlineStr">
        <is>
          <t>24-PC-43877</t>
        </is>
      </c>
      <c r="B122" s="4" t="inlineStr">
        <is>
          <t>Wren Hollow Canal Lining Maritime Remote Sensing Survey</t>
        </is>
      </c>
      <c r="C122" s="4" t="inlineStr">
        <is>
          <t>Transferred Entity</t>
        </is>
      </c>
      <c r="D122" s="4" t="inlineStr">
        <is>
          <t>Fixed fee</t>
        </is>
      </c>
      <c r="E122" s="4" t="inlineStr">
        <is>
          <t>NH Gulf (USD)</t>
        </is>
      </c>
      <c r="F122" s="4" t="inlineStr">
        <is>
          <t>Vanessa Duarte</t>
        </is>
      </c>
      <c r="G122" s="5" t="n">
        <v>213100</v>
      </c>
      <c r="H122" s="5" t="n">
        <v>152792.6986666667</v>
      </c>
      <c r="I122" s="5" t="n">
        <v>152792.6986666667</v>
      </c>
      <c r="J122" s="5" t="n">
        <v>187528</v>
      </c>
      <c r="K122" s="5" t="n">
        <v>187528</v>
      </c>
      <c r="L122" s="5" t="n">
        <v>0</v>
      </c>
      <c r="M122" s="5" t="n">
        <v>134454.77</v>
      </c>
      <c r="N122" s="5" t="n">
        <v>53073.23000000001</v>
      </c>
      <c r="O122" s="6" t="n">
        <v>0.7169999937431566</v>
      </c>
      <c r="P122" s="6" t="n">
        <v>0.716985036901156</v>
      </c>
    </row>
    <row r="123">
      <c r="A123" s="4" t="inlineStr">
        <is>
          <t>24-PC-44113</t>
        </is>
      </c>
      <c r="B123" s="4" t="inlineStr">
        <is>
          <t>Cedar Hollow Airport Apron - Paleontological Monitoring</t>
        </is>
      </c>
      <c r="C123" s="4" t="inlineStr">
        <is>
          <t>Transferred Entity</t>
        </is>
      </c>
      <c r="D123" s="4" t="inlineStr">
        <is>
          <t>Time and material</t>
        </is>
      </c>
      <c r="E123" s="4" t="inlineStr">
        <is>
          <t>NH Gulf (USD)</t>
        </is>
      </c>
      <c r="F123" s="4" t="inlineStr">
        <is>
          <t>Susan Wilkins</t>
        </is>
      </c>
      <c r="G123" s="5" t="n">
        <v>264500</v>
      </c>
      <c r="H123" s="5" t="n">
        <v>264500</v>
      </c>
      <c r="I123" s="5" t="n">
        <v>256769.1786666667</v>
      </c>
      <c r="J123" s="5" t="n">
        <v>194222.35</v>
      </c>
      <c r="K123" s="5" t="n">
        <v>194222.35</v>
      </c>
      <c r="L123" s="5" t="n">
        <v>0</v>
      </c>
      <c r="M123" s="5" t="n">
        <v>246339.6193333333</v>
      </c>
      <c r="N123" s="5" t="n">
        <v>-52117.26933333333</v>
      </c>
      <c r="O123" s="6" t="n">
        <v>1</v>
      </c>
      <c r="P123" s="6" t="n">
        <v>1.26833816671116</v>
      </c>
    </row>
    <row r="124">
      <c r="A124" s="4" t="inlineStr">
        <is>
          <t>24-PC-44158</t>
        </is>
      </c>
      <c r="B124" s="4" t="inlineStr">
        <is>
          <t>Saltgrass Environmental Review Support</t>
        </is>
      </c>
      <c r="C124" s="4" t="inlineStr">
        <is>
          <t>Transferred Entity</t>
        </is>
      </c>
      <c r="D124" s="4" t="inlineStr">
        <is>
          <t>Fixed fee</t>
        </is>
      </c>
      <c r="E124" s="4" t="inlineStr">
        <is>
          <t>NH Gulf (USD)</t>
        </is>
      </c>
      <c r="F124" s="4" t="inlineStr">
        <is>
          <t>Vanessa Duarte</t>
        </is>
      </c>
      <c r="G124" s="5" t="n">
        <v>23200</v>
      </c>
      <c r="H124" s="5" t="n">
        <v>23200</v>
      </c>
      <c r="I124" s="5" t="n">
        <v>23148.01066666667</v>
      </c>
      <c r="J124" s="5" t="n">
        <v>15583.44</v>
      </c>
      <c r="K124" s="5" t="n">
        <v>15583.44</v>
      </c>
      <c r="L124" s="5" t="n">
        <v>0</v>
      </c>
      <c r="M124" s="5" t="n">
        <v>16044.04</v>
      </c>
      <c r="N124" s="5" t="n">
        <v>-460.6000000000004</v>
      </c>
      <c r="O124" s="6" t="n">
        <v>1</v>
      </c>
      <c r="P124" s="6" t="n">
        <v>1.029557016935927</v>
      </c>
    </row>
    <row r="125">
      <c r="A125" s="4" t="inlineStr">
        <is>
          <t>25-PC-30345</t>
        </is>
      </c>
      <c r="B125" s="4" t="inlineStr">
        <is>
          <t>Wildrye Phase II Testing</t>
        </is>
      </c>
      <c r="C125" s="4" t="inlineStr">
        <is>
          <t>In Progress</t>
        </is>
      </c>
      <c r="D125" s="4" t="inlineStr">
        <is>
          <t>Fixed fee</t>
        </is>
      </c>
      <c r="E125" s="4" t="inlineStr">
        <is>
          <t>Big Sky</t>
        </is>
      </c>
      <c r="F125" s="4" t="inlineStr">
        <is>
          <t>Brendan Melton</t>
        </is>
      </c>
      <c r="G125" s="5" t="n">
        <v>160400</v>
      </c>
      <c r="H125" s="5" t="n">
        <v>130998.68</v>
      </c>
      <c r="I125" s="5" t="n">
        <v>130998.68</v>
      </c>
      <c r="J125" s="5" t="n">
        <v>92631</v>
      </c>
      <c r="K125" s="5" t="n">
        <v>92631</v>
      </c>
      <c r="L125" s="5" t="n">
        <v>0</v>
      </c>
      <c r="M125" s="5" t="n">
        <v>75656.14</v>
      </c>
      <c r="N125" s="5" t="n">
        <v>16974.86</v>
      </c>
      <c r="O125" s="6" t="n">
        <v>0.8169999999999999</v>
      </c>
      <c r="P125" s="6" t="n">
        <v>0.8167</v>
      </c>
    </row>
    <row r="126">
      <c r="A126" s="4" t="inlineStr">
        <is>
          <t>25-PC-30581</t>
        </is>
      </c>
      <c r="B126" s="4" t="inlineStr">
        <is>
          <t>Phase II: Foxglove Harbor Dredging Data Recovery</t>
        </is>
      </c>
      <c r="C126" s="4" t="inlineStr">
        <is>
          <t>In Progress</t>
        </is>
      </c>
      <c r="D126" s="4" t="inlineStr">
        <is>
          <t>Fixed fee</t>
        </is>
      </c>
      <c r="E126" s="4" t="inlineStr">
        <is>
          <t>Bluegrass</t>
        </is>
      </c>
      <c r="F126" s="4" t="inlineStr">
        <is>
          <t>Alice Galloway</t>
        </is>
      </c>
      <c r="G126" s="5" t="n">
        <v>19700</v>
      </c>
      <c r="H126" s="5" t="n">
        <v>19700</v>
      </c>
      <c r="I126" s="5" t="n">
        <v>17105.05</v>
      </c>
      <c r="J126" s="5" t="n">
        <v>13027.61</v>
      </c>
      <c r="K126" s="5" t="n">
        <v>13027.61</v>
      </c>
      <c r="L126" s="5" t="n">
        <v>0</v>
      </c>
      <c r="M126" s="5" t="n">
        <v>13683.52</v>
      </c>
      <c r="N126" s="5" t="n">
        <v>-655.9099999999999</v>
      </c>
      <c r="O126" s="6" t="n">
        <v>1</v>
      </c>
      <c r="P126" s="6" t="n">
        <v>1.0503</v>
      </c>
    </row>
    <row r="127">
      <c r="A127" s="4" t="inlineStr">
        <is>
          <t>25-PC-30772</t>
        </is>
      </c>
      <c r="B127" s="4" t="inlineStr">
        <is>
          <t>Sea Oat Cultural Resources Assessment</t>
        </is>
      </c>
      <c r="C127" s="4" t="inlineStr">
        <is>
          <t>In Progress</t>
        </is>
      </c>
      <c r="D127" s="4" t="inlineStr">
        <is>
          <t>Fixed fee</t>
        </is>
      </c>
      <c r="E127" s="4" t="inlineStr">
        <is>
          <t>Bluegrass</t>
        </is>
      </c>
      <c r="F127" s="4" t="inlineStr">
        <is>
          <t>Alice Galloway</t>
        </is>
      </c>
      <c r="G127" s="5" t="n">
        <v>63300</v>
      </c>
      <c r="H127" s="5" t="n">
        <v>63300</v>
      </c>
      <c r="I127" s="5" t="n">
        <v>63300</v>
      </c>
      <c r="J127" s="5" t="n">
        <v>43065.84</v>
      </c>
      <c r="K127" s="5" t="n">
        <v>35870.85</v>
      </c>
      <c r="L127" s="5" t="n">
        <v>7194.99</v>
      </c>
      <c r="M127" s="5" t="n">
        <v>56416.91</v>
      </c>
      <c r="N127" s="5" t="n">
        <v>-13351.07000000001</v>
      </c>
      <c r="O127" s="6" t="n">
        <v>1</v>
      </c>
      <c r="P127" s="6" t="n">
        <v>1.31</v>
      </c>
    </row>
    <row r="128">
      <c r="A128" s="4" t="inlineStr">
        <is>
          <t>25-PC-30803</t>
        </is>
      </c>
      <c r="B128" s="4" t="inlineStr">
        <is>
          <t>Saltgrass Cell Tower Built Environment Survey</t>
        </is>
      </c>
      <c r="C128" s="4" t="inlineStr">
        <is>
          <t>In Progress</t>
        </is>
      </c>
      <c r="D128" s="4" t="inlineStr">
        <is>
          <t>Fixed fee</t>
        </is>
      </c>
      <c r="E128" s="4" t="inlineStr">
        <is>
          <t>Bluegrass</t>
        </is>
      </c>
      <c r="F128" s="4" t="inlineStr">
        <is>
          <t>Alice Galloway</t>
        </is>
      </c>
      <c r="G128" s="5" t="n">
        <v>131000</v>
      </c>
      <c r="H128" s="5" t="n">
        <v>131000</v>
      </c>
      <c r="I128" s="5" t="n">
        <v>122522.64</v>
      </c>
      <c r="J128" s="5" t="n">
        <v>85464.39999999999</v>
      </c>
      <c r="K128" s="5" t="n">
        <v>85464.39999999999</v>
      </c>
      <c r="L128" s="5" t="n">
        <v>0</v>
      </c>
      <c r="M128" s="5" t="n">
        <v>90183.89999999999</v>
      </c>
      <c r="N128" s="5" t="n">
        <v>-4719.5</v>
      </c>
      <c r="O128" s="6" t="n">
        <v>1</v>
      </c>
      <c r="P128" s="6" t="n">
        <v>1.0552</v>
      </c>
    </row>
    <row r="129">
      <c r="A129" s="4" t="inlineStr">
        <is>
          <t>25-PC-31109</t>
        </is>
      </c>
      <c r="B129" s="4" t="inlineStr">
        <is>
          <t>Riverbend GIS Mapping</t>
        </is>
      </c>
      <c r="C129" s="4" t="inlineStr">
        <is>
          <t>In Progress</t>
        </is>
      </c>
      <c r="D129" s="4" t="inlineStr">
        <is>
          <t>Time and material</t>
        </is>
      </c>
      <c r="E129" s="4" t="inlineStr">
        <is>
          <t>Cascade</t>
        </is>
      </c>
      <c r="F129" s="4" t="inlineStr">
        <is>
          <t>Cassidy Gay</t>
        </is>
      </c>
      <c r="G129" s="5" t="n">
        <v>174700</v>
      </c>
      <c r="H129" s="5" t="n">
        <v>174700</v>
      </c>
      <c r="I129" s="5" t="n">
        <v>154905.3</v>
      </c>
      <c r="J129" s="5" t="n">
        <v>109484.49</v>
      </c>
      <c r="K129" s="5" t="n">
        <v>109484.49</v>
      </c>
      <c r="L129" s="5" t="n">
        <v>0</v>
      </c>
      <c r="M129" s="5" t="n">
        <v>162892.26</v>
      </c>
      <c r="N129" s="5" t="n">
        <v>-53407.77</v>
      </c>
      <c r="O129" s="6" t="n">
        <v>1</v>
      </c>
      <c r="P129" s="6" t="n">
        <v>1.4878</v>
      </c>
    </row>
    <row r="130">
      <c r="A130" s="4" t="inlineStr">
        <is>
          <t>25-PC-31114</t>
        </is>
      </c>
      <c r="B130" s="4" t="inlineStr">
        <is>
          <t>Granite Pass Built Environment Survey</t>
        </is>
      </c>
      <c r="C130" s="4" t="inlineStr">
        <is>
          <t>In Progress</t>
        </is>
      </c>
      <c r="D130" s="4" t="inlineStr">
        <is>
          <t>Time and material</t>
        </is>
      </c>
      <c r="E130" s="4" t="inlineStr">
        <is>
          <t>Cascade</t>
        </is>
      </c>
      <c r="F130" s="4" t="inlineStr">
        <is>
          <t>Jean Cooke</t>
        </is>
      </c>
      <c r="G130" s="5" t="n">
        <v>229400</v>
      </c>
      <c r="H130" s="5" t="n">
        <v>179308.8</v>
      </c>
      <c r="I130" s="5" t="n">
        <v>179308.8</v>
      </c>
      <c r="J130" s="5" t="n">
        <v>157964.84</v>
      </c>
      <c r="K130" s="5" t="n">
        <v>157964.84</v>
      </c>
      <c r="L130" s="5" t="n">
        <v>0</v>
      </c>
      <c r="M130" s="5" t="n">
        <v>127618.8</v>
      </c>
      <c r="N130" s="5" t="n">
        <v>30346.03999999999</v>
      </c>
      <c r="O130" s="6" t="n">
        <v>0.782</v>
      </c>
      <c r="P130" s="6" t="n">
        <v>0.8079</v>
      </c>
    </row>
    <row r="131">
      <c r="A131" s="4" t="inlineStr">
        <is>
          <t>25-PC-31180</t>
        </is>
      </c>
      <c r="B131" s="4" t="inlineStr">
        <is>
          <t>Blue Heron Environmental Review Support</t>
        </is>
      </c>
      <c r="C131" s="4" t="inlineStr">
        <is>
          <t>In Progress</t>
        </is>
      </c>
      <c r="D131" s="4" t="inlineStr">
        <is>
          <t>Fixed fee</t>
        </is>
      </c>
      <c r="E131" s="4" t="inlineStr">
        <is>
          <t>Cascade</t>
        </is>
      </c>
      <c r="F131" s="4" t="inlineStr">
        <is>
          <t>Preston Duarte</t>
        </is>
      </c>
      <c r="G131" s="5" t="n">
        <v>80000</v>
      </c>
      <c r="H131" s="5" t="n">
        <v>80000</v>
      </c>
      <c r="I131" s="5" t="n">
        <v>69747.42999999999</v>
      </c>
      <c r="J131" s="5" t="n">
        <v>60701.89</v>
      </c>
      <c r="K131" s="5" t="n">
        <v>45712.3</v>
      </c>
      <c r="L131" s="5" t="n">
        <v>14989.59</v>
      </c>
      <c r="M131" s="5" t="n">
        <v>64096.36</v>
      </c>
      <c r="N131" s="5" t="n">
        <v>-3394.470000000001</v>
      </c>
      <c r="O131" s="6" t="n">
        <v>1</v>
      </c>
      <c r="P131" s="6" t="n">
        <v>1.0559</v>
      </c>
    </row>
    <row r="132">
      <c r="A132" s="4" t="inlineStr">
        <is>
          <t>25-PC-31330</t>
        </is>
      </c>
      <c r="B132" s="4" t="inlineStr">
        <is>
          <t>Phase I: Kestrel Butte Substation Data Recovery</t>
        </is>
      </c>
      <c r="C132" s="4" t="inlineStr">
        <is>
          <t>Lab/Curation</t>
        </is>
      </c>
      <c r="D132" s="4" t="inlineStr">
        <is>
          <t>Fixed fee</t>
        </is>
      </c>
      <c r="E132" s="4" t="inlineStr">
        <is>
          <t>Cascade</t>
        </is>
      </c>
      <c r="F132" s="4" t="inlineStr">
        <is>
          <t>Donald Lutz</t>
        </is>
      </c>
      <c r="G132" s="5" t="n">
        <v>23500</v>
      </c>
      <c r="H132" s="5" t="n">
        <v>23500</v>
      </c>
      <c r="I132" s="5" t="n">
        <v>23419.06</v>
      </c>
      <c r="J132" s="5" t="n">
        <v>17263.1</v>
      </c>
      <c r="K132" s="5" t="n">
        <v>17263.1</v>
      </c>
      <c r="L132" s="5" t="n">
        <v>0</v>
      </c>
      <c r="M132" s="5" t="n">
        <v>22123.1</v>
      </c>
      <c r="N132" s="5" t="n">
        <v>-4860</v>
      </c>
      <c r="O132" s="6" t="n">
        <v>1</v>
      </c>
      <c r="P132" s="6" t="n">
        <v>1.2815</v>
      </c>
    </row>
    <row r="133">
      <c r="A133" s="4" t="inlineStr">
        <is>
          <t>25-PC-31417</t>
        </is>
      </c>
      <c r="B133" s="4" t="inlineStr">
        <is>
          <t>Sandpiper Park Improvements Phase I Survey</t>
        </is>
      </c>
      <c r="C133" s="4" t="inlineStr">
        <is>
          <t>In Progress</t>
        </is>
      </c>
      <c r="D133" s="4" t="inlineStr">
        <is>
          <t>Fixed fee</t>
        </is>
      </c>
      <c r="E133" s="4" t="inlineStr">
        <is>
          <t>Cascade</t>
        </is>
      </c>
      <c r="F133" s="4" t="inlineStr">
        <is>
          <t>Cassidy Gay</t>
        </is>
      </c>
      <c r="G133" s="5" t="n">
        <v>52000</v>
      </c>
      <c r="H133" s="5" t="n">
        <v>52000</v>
      </c>
      <c r="I133" s="5" t="n">
        <v>49983.77</v>
      </c>
      <c r="J133" s="5" t="n">
        <v>38781.6</v>
      </c>
      <c r="K133" s="5" t="n">
        <v>38781.6</v>
      </c>
      <c r="L133" s="5" t="n">
        <v>0</v>
      </c>
      <c r="M133" s="5" t="n">
        <v>51500.29</v>
      </c>
      <c r="N133" s="5" t="n">
        <v>-12718.69</v>
      </c>
      <c r="O133" s="6" t="n">
        <v>1</v>
      </c>
      <c r="P133" s="6" t="n">
        <v>1.328</v>
      </c>
    </row>
    <row r="134">
      <c r="A134" s="4" t="inlineStr">
        <is>
          <t>25-PC-31555</t>
        </is>
      </c>
      <c r="B134" s="4" t="inlineStr">
        <is>
          <t>Wren Hollow Architectural History Survey</t>
        </is>
      </c>
      <c r="C134" s="4" t="inlineStr">
        <is>
          <t>In Progress</t>
        </is>
      </c>
      <c r="D134" s="4" t="inlineStr">
        <is>
          <t>Fixed fee</t>
        </is>
      </c>
      <c r="E134" s="4" t="inlineStr">
        <is>
          <t>Cascade</t>
        </is>
      </c>
      <c r="F134" s="4" t="inlineStr">
        <is>
          <t>Gene Nixon</t>
        </is>
      </c>
      <c r="G134" s="5" t="n">
        <v>69300</v>
      </c>
      <c r="H134" s="5" t="n">
        <v>66417.12</v>
      </c>
      <c r="I134" s="5" t="n">
        <v>60877.3</v>
      </c>
      <c r="J134" s="5" t="n">
        <v>53097.66</v>
      </c>
      <c r="K134" s="5" t="n">
        <v>53097.66</v>
      </c>
      <c r="L134" s="5" t="n">
        <v>0</v>
      </c>
      <c r="M134" s="5" t="n">
        <v>50888.1</v>
      </c>
      <c r="N134" s="5" t="n">
        <v>2209.560000000005</v>
      </c>
      <c r="O134" s="6" t="n">
        <v>0.958</v>
      </c>
      <c r="P134" s="6" t="n">
        <v>0.9584</v>
      </c>
    </row>
    <row r="135">
      <c r="A135" s="4" t="inlineStr">
        <is>
          <t>25-PC-31590</t>
        </is>
      </c>
      <c r="B135" s="4" t="inlineStr">
        <is>
          <t>Task Order 11: Kestrel Butte Mine Expansion Cultural Resources Monitoring</t>
        </is>
      </c>
      <c r="C135" s="4" t="inlineStr">
        <is>
          <t>In Progress</t>
        </is>
      </c>
      <c r="D135" s="4" t="inlineStr">
        <is>
          <t>Fixed fee</t>
        </is>
      </c>
      <c r="E135" s="4" t="inlineStr">
        <is>
          <t>Cascade</t>
        </is>
      </c>
      <c r="F135" s="4" t="inlineStr">
        <is>
          <t>Jean Cooke</t>
        </is>
      </c>
      <c r="G135" s="5" t="n">
        <v>16800</v>
      </c>
      <c r="H135" s="5" t="n">
        <v>16800</v>
      </c>
      <c r="I135" s="5" t="n">
        <v>16756.9</v>
      </c>
      <c r="J135" s="5" t="n">
        <v>11810.4</v>
      </c>
      <c r="K135" s="5" t="n">
        <v>11810.4</v>
      </c>
      <c r="L135" s="5" t="n">
        <v>0</v>
      </c>
      <c r="M135" s="5" t="n">
        <v>15531.6</v>
      </c>
      <c r="N135" s="5" t="n">
        <v>-3721.200000000001</v>
      </c>
      <c r="O135" s="6" t="n">
        <v>1</v>
      </c>
      <c r="P135" s="6" t="n">
        <v>1.3151</v>
      </c>
    </row>
    <row r="136">
      <c r="A136" s="4" t="inlineStr">
        <is>
          <t>25-PC-31616</t>
        </is>
      </c>
      <c r="B136" s="4" t="inlineStr">
        <is>
          <t>On-Call: Foxglove Fiber Route GIS Mapping</t>
        </is>
      </c>
      <c r="C136" s="4" t="inlineStr">
        <is>
          <t>Final Reporting/Review</t>
        </is>
      </c>
      <c r="D136" s="4" t="inlineStr">
        <is>
          <t>Time and material</t>
        </is>
      </c>
      <c r="E136" s="4" t="inlineStr">
        <is>
          <t>Cascade</t>
        </is>
      </c>
      <c r="F136" s="4" t="inlineStr">
        <is>
          <t>Jeff Spence</t>
        </is>
      </c>
      <c r="G136" s="5" t="n">
        <v>30300</v>
      </c>
      <c r="H136" s="5" t="n">
        <v>30300</v>
      </c>
      <c r="I136" s="5" t="n">
        <v>30300</v>
      </c>
      <c r="J136" s="5" t="n">
        <v>22049.31</v>
      </c>
      <c r="K136" s="5" t="n">
        <v>22049.31</v>
      </c>
      <c r="L136" s="5" t="n">
        <v>0</v>
      </c>
      <c r="M136" s="5" t="n">
        <v>34568.28</v>
      </c>
      <c r="N136" s="5" t="n">
        <v>-12518.97</v>
      </c>
      <c r="O136" s="6" t="n">
        <v>1</v>
      </c>
      <c r="P136" s="6" t="n">
        <v>1.5678</v>
      </c>
    </row>
    <row r="137">
      <c r="A137" s="4" t="inlineStr">
        <is>
          <t>25-PC-31784</t>
        </is>
      </c>
      <c r="B137" s="4" t="inlineStr">
        <is>
          <t>On-Call: Badger Hollow Pipeline Archaeological Testing</t>
        </is>
      </c>
      <c r="C137" s="4" t="inlineStr">
        <is>
          <t>In Progress</t>
        </is>
      </c>
      <c r="D137" s="4" t="inlineStr">
        <is>
          <t>Fixed fee</t>
        </is>
      </c>
      <c r="E137" s="4" t="inlineStr">
        <is>
          <t>Cascade</t>
        </is>
      </c>
      <c r="F137" s="4" t="inlineStr">
        <is>
          <t>Preston Duarte</t>
        </is>
      </c>
      <c r="G137" s="5" t="n">
        <v>216800</v>
      </c>
      <c r="H137" s="5" t="n">
        <v>216800</v>
      </c>
      <c r="I137" s="5" t="n">
        <v>202009.7</v>
      </c>
      <c r="J137" s="5" t="n">
        <v>171337.04</v>
      </c>
      <c r="K137" s="5" t="n">
        <v>171337.04</v>
      </c>
      <c r="L137" s="5" t="n">
        <v>0</v>
      </c>
      <c r="M137" s="5" t="n">
        <v>185663.62</v>
      </c>
      <c r="N137" s="5" t="n">
        <v>-14326.57999999999</v>
      </c>
      <c r="O137" s="6" t="n">
        <v>1</v>
      </c>
      <c r="P137" s="6" t="n">
        <v>1.0836</v>
      </c>
    </row>
    <row r="138">
      <c r="A138" s="4" t="inlineStr">
        <is>
          <t>25-PC-31895</t>
        </is>
      </c>
      <c r="B138" s="4" t="inlineStr">
        <is>
          <t>Task Order 27: Hawk Point Pipeline Data Recovery</t>
        </is>
      </c>
      <c r="C138" s="4" t="inlineStr">
        <is>
          <t>Cost Tracking on Closed Project</t>
        </is>
      </c>
      <c r="D138" s="4" t="inlineStr">
        <is>
          <t>Time and material</t>
        </is>
      </c>
      <c r="E138" s="4" t="inlineStr">
        <is>
          <t>Cascade</t>
        </is>
      </c>
      <c r="F138" s="4" t="inlineStr">
        <is>
          <t>Donald Lutz</t>
        </is>
      </c>
      <c r="G138" s="5" t="n">
        <v>40900</v>
      </c>
      <c r="H138" s="5" t="n">
        <v>13987.8</v>
      </c>
      <c r="I138" s="5" t="n">
        <v>13987.8</v>
      </c>
      <c r="J138" s="5" t="n">
        <v>28728.16</v>
      </c>
      <c r="K138" s="5" t="n">
        <v>28728.16</v>
      </c>
      <c r="L138" s="5" t="n">
        <v>0</v>
      </c>
      <c r="M138" s="5" t="n">
        <v>33002.57</v>
      </c>
      <c r="N138" s="5" t="n">
        <v>-4274.41</v>
      </c>
      <c r="O138" s="6" t="n">
        <v>0.342</v>
      </c>
      <c r="P138" s="6" t="n">
        <v>1.1488</v>
      </c>
    </row>
    <row r="139">
      <c r="A139" s="4" t="inlineStr">
        <is>
          <t>25-PC-31961</t>
        </is>
      </c>
      <c r="B139" s="4" t="inlineStr">
        <is>
          <t>Sandpiper Canal Lining - Phase I Survey</t>
        </is>
      </c>
      <c r="C139" s="4" t="inlineStr">
        <is>
          <t>Final Reporting/Review</t>
        </is>
      </c>
      <c r="D139" s="4" t="inlineStr">
        <is>
          <t>Time and material</t>
        </is>
      </c>
      <c r="E139" s="4" t="inlineStr">
        <is>
          <t>Chesapeake</t>
        </is>
      </c>
      <c r="F139" s="4" t="inlineStr">
        <is>
          <t>Jason Oconnor</t>
        </is>
      </c>
      <c r="G139" s="5" t="n">
        <v>35200</v>
      </c>
      <c r="H139" s="5" t="n">
        <v>35200</v>
      </c>
      <c r="I139" s="5" t="n">
        <v>35200</v>
      </c>
      <c r="J139" s="5" t="n">
        <v>24481.6</v>
      </c>
      <c r="K139" s="5" t="n">
        <v>24481.6</v>
      </c>
      <c r="L139" s="5" t="n">
        <v>0</v>
      </c>
      <c r="M139" s="5" t="n">
        <v>39794.35</v>
      </c>
      <c r="N139" s="5" t="n">
        <v>-15312.75</v>
      </c>
      <c r="O139" s="6" t="n">
        <v>1</v>
      </c>
      <c r="P139" s="6" t="n">
        <v>1.6255</v>
      </c>
    </row>
    <row r="140">
      <c r="A140" s="4" t="inlineStr">
        <is>
          <t>25-PC-32024</t>
        </is>
      </c>
      <c r="B140" s="4" t="inlineStr">
        <is>
          <t>Pine Hollow Historic Resources Evaluation</t>
        </is>
      </c>
      <c r="C140" s="4" t="inlineStr">
        <is>
          <t>In Progress</t>
        </is>
      </c>
      <c r="D140" s="4" t="inlineStr">
        <is>
          <t>Time and material</t>
        </is>
      </c>
      <c r="E140" s="4" t="inlineStr">
        <is>
          <t>Chesapeake</t>
        </is>
      </c>
      <c r="F140" s="4" t="inlineStr">
        <is>
          <t>Ian Maddox</t>
        </is>
      </c>
      <c r="G140" s="5" t="n">
        <v>79500</v>
      </c>
      <c r="H140" s="5" t="n">
        <v>57058</v>
      </c>
      <c r="I140" s="5" t="n">
        <v>51094.33</v>
      </c>
      <c r="J140" s="5" t="n">
        <v>57637.5</v>
      </c>
      <c r="K140" s="5" t="n">
        <v>57637.5</v>
      </c>
      <c r="L140" s="5" t="n">
        <v>0</v>
      </c>
      <c r="M140" s="5" t="n">
        <v>41962.52</v>
      </c>
      <c r="N140" s="5" t="n">
        <v>15674.98</v>
      </c>
      <c r="O140" s="6" t="n">
        <v>0.718</v>
      </c>
      <c r="P140" s="6" t="n">
        <v>0.728</v>
      </c>
    </row>
    <row r="141">
      <c r="A141" s="4" t="inlineStr">
        <is>
          <t>25-PC-32323</t>
        </is>
      </c>
      <c r="B141" s="4" t="inlineStr">
        <is>
          <t>Hackberry Bend Canal Lining Data Recovery</t>
        </is>
      </c>
      <c r="C141" s="4" t="inlineStr">
        <is>
          <t>In Progress</t>
        </is>
      </c>
      <c r="D141" s="4" t="inlineStr">
        <is>
          <t>Time and material</t>
        </is>
      </c>
      <c r="E141" s="4" t="inlineStr">
        <is>
          <t>Chesapeake</t>
        </is>
      </c>
      <c r="F141" s="4" t="inlineStr">
        <is>
          <t>Ian Maddox</t>
        </is>
      </c>
      <c r="G141" s="5" t="n">
        <v>201300</v>
      </c>
      <c r="H141" s="5" t="n">
        <v>196916.6</v>
      </c>
      <c r="I141" s="5" t="n">
        <v>185059.24</v>
      </c>
      <c r="J141" s="5" t="n">
        <v>150874.35</v>
      </c>
      <c r="K141" s="5" t="n">
        <v>150874.35</v>
      </c>
      <c r="L141" s="5" t="n">
        <v>0</v>
      </c>
      <c r="M141" s="5" t="n">
        <v>161800.48</v>
      </c>
      <c r="N141" s="5" t="n">
        <v>-10926.13</v>
      </c>
      <c r="O141" s="6" t="n">
        <v>0.978</v>
      </c>
      <c r="P141" s="6" t="n">
        <v>1.0724</v>
      </c>
    </row>
    <row r="142">
      <c r="A142" s="4" t="inlineStr">
        <is>
          <t>25-PC-32447</t>
        </is>
      </c>
      <c r="B142" s="4" t="inlineStr">
        <is>
          <t>Pebble Beach Road Archaeological Testing</t>
        </is>
      </c>
      <c r="C142" s="4" t="inlineStr">
        <is>
          <t>In Progress</t>
        </is>
      </c>
      <c r="D142" s="4" t="inlineStr">
        <is>
          <t>Fixed fee</t>
        </is>
      </c>
      <c r="E142" s="4" t="inlineStr">
        <is>
          <t>Chesapeake</t>
        </is>
      </c>
      <c r="F142" s="4" t="inlineStr">
        <is>
          <t>Alexandria Wilkinson</t>
        </is>
      </c>
      <c r="G142" s="5" t="n">
        <v>88200</v>
      </c>
      <c r="H142" s="5" t="n">
        <v>88200</v>
      </c>
      <c r="I142" s="5" t="n">
        <v>88200</v>
      </c>
      <c r="J142" s="5" t="n">
        <v>61772.24</v>
      </c>
      <c r="K142" s="5" t="n">
        <v>55626.38</v>
      </c>
      <c r="L142" s="5" t="n">
        <v>6145.86</v>
      </c>
      <c r="M142" s="5" t="n">
        <v>76703.23</v>
      </c>
      <c r="N142" s="5" t="n">
        <v>-14930.99</v>
      </c>
      <c r="O142" s="6" t="n">
        <v>1</v>
      </c>
      <c r="P142" s="6" t="n">
        <v>1.2417</v>
      </c>
    </row>
    <row r="143">
      <c r="A143" s="4" t="inlineStr">
        <is>
          <t>25-PC-32495</t>
        </is>
      </c>
      <c r="B143" s="4" t="inlineStr">
        <is>
          <t>Oak Terrace Canal Lining - Phase I Survey</t>
        </is>
      </c>
      <c r="C143" s="4" t="inlineStr">
        <is>
          <t>In Progress</t>
        </is>
      </c>
      <c r="D143" s="4" t="inlineStr">
        <is>
          <t>Time and material</t>
        </is>
      </c>
      <c r="E143" s="4" t="inlineStr">
        <is>
          <t>Chesapeake</t>
        </is>
      </c>
      <c r="F143" s="4" t="inlineStr">
        <is>
          <t>Sandy Kerr</t>
        </is>
      </c>
      <c r="G143" s="5" t="n">
        <v>118800</v>
      </c>
      <c r="H143" s="5" t="n">
        <v>118800</v>
      </c>
      <c r="I143" s="5" t="n">
        <v>111029.5</v>
      </c>
      <c r="J143" s="5" t="n">
        <v>85013.28</v>
      </c>
      <c r="K143" s="5" t="n">
        <v>85013.28</v>
      </c>
      <c r="L143" s="5" t="n">
        <v>0</v>
      </c>
      <c r="M143" s="5" t="n">
        <v>117591.53</v>
      </c>
      <c r="N143" s="5" t="n">
        <v>-32578.25</v>
      </c>
      <c r="O143" s="6" t="n">
        <v>1</v>
      </c>
      <c r="P143" s="6" t="n">
        <v>1.3832</v>
      </c>
    </row>
    <row r="144">
      <c r="A144" s="4" t="inlineStr">
        <is>
          <t>25-PC-32776</t>
        </is>
      </c>
      <c r="B144" s="4" t="inlineStr">
        <is>
          <t>Plover Cove Mixed-Use Development Cultural Resources Monitoring</t>
        </is>
      </c>
      <c r="C144" s="4" t="inlineStr">
        <is>
          <t>In Progress</t>
        </is>
      </c>
      <c r="D144" s="4" t="inlineStr">
        <is>
          <t>Time and material</t>
        </is>
      </c>
      <c r="E144" s="4" t="inlineStr">
        <is>
          <t>Front Range</t>
        </is>
      </c>
      <c r="F144" s="4" t="inlineStr">
        <is>
          <t>Jeremy Tran</t>
        </is>
      </c>
      <c r="G144" s="5" t="n">
        <v>86500</v>
      </c>
      <c r="H144" s="5" t="n">
        <v>83279.75</v>
      </c>
      <c r="I144" s="5" t="n">
        <v>75767.64999999999</v>
      </c>
      <c r="J144" s="5" t="n">
        <v>62245.4</v>
      </c>
      <c r="K144" s="5" t="n">
        <v>62245.4</v>
      </c>
      <c r="L144" s="5" t="n">
        <v>0</v>
      </c>
      <c r="M144" s="5" t="n">
        <v>49276.48</v>
      </c>
      <c r="N144" s="5" t="n">
        <v>12968.92</v>
      </c>
      <c r="O144" s="6" t="n">
        <v>0.963</v>
      </c>
      <c r="P144" s="6" t="n">
        <v>0.7916</v>
      </c>
    </row>
    <row r="145">
      <c r="A145" s="4" t="inlineStr">
        <is>
          <t>25-PC-32795</t>
        </is>
      </c>
      <c r="B145" s="4" t="inlineStr">
        <is>
          <t>North Fork Water Main Architectural History Survey</t>
        </is>
      </c>
      <c r="C145" s="4" t="inlineStr">
        <is>
          <t>In Progress</t>
        </is>
      </c>
      <c r="D145" s="4" t="inlineStr">
        <is>
          <t>Time and material</t>
        </is>
      </c>
      <c r="E145" s="4" t="inlineStr">
        <is>
          <t>Front Range</t>
        </is>
      </c>
      <c r="F145" s="4" t="inlineStr">
        <is>
          <t>Reginald Vargas</t>
        </is>
      </c>
      <c r="G145" s="5" t="n">
        <v>16900</v>
      </c>
      <c r="H145" s="5" t="n">
        <v>16900</v>
      </c>
      <c r="I145" s="5" t="n">
        <v>16900</v>
      </c>
      <c r="J145" s="5" t="n">
        <v>11650.86</v>
      </c>
      <c r="K145" s="5" t="n">
        <v>11650.86</v>
      </c>
      <c r="L145" s="5" t="n">
        <v>0</v>
      </c>
      <c r="M145" s="5" t="n">
        <v>12884.7</v>
      </c>
      <c r="N145" s="5" t="n">
        <v>-1233.84</v>
      </c>
      <c r="O145" s="6" t="n">
        <v>1</v>
      </c>
      <c r="P145" s="6" t="n">
        <v>1.1059</v>
      </c>
    </row>
    <row r="146">
      <c r="A146" s="4" t="inlineStr">
        <is>
          <t>25-PC-32838</t>
        </is>
      </c>
      <c r="B146" s="4" t="inlineStr">
        <is>
          <t>Aspen Ridge Canal Lining - Curation</t>
        </is>
      </c>
      <c r="C146" s="4" t="inlineStr">
        <is>
          <t>In Progress</t>
        </is>
      </c>
      <c r="D146" s="4" t="inlineStr">
        <is>
          <t>Fixed fee</t>
        </is>
      </c>
      <c r="E146" s="4" t="inlineStr">
        <is>
          <t>Front Range</t>
        </is>
      </c>
      <c r="F146" s="4" t="inlineStr">
        <is>
          <t>Jeremy Tran</t>
        </is>
      </c>
      <c r="G146" s="5" t="n">
        <v>42600</v>
      </c>
      <c r="H146" s="5" t="n">
        <v>39204.78</v>
      </c>
      <c r="I146" s="5" t="n">
        <v>39204.78</v>
      </c>
      <c r="J146" s="5" t="n">
        <v>33543.24</v>
      </c>
      <c r="K146" s="5" t="n">
        <v>33543.24</v>
      </c>
      <c r="L146" s="5" t="n">
        <v>0</v>
      </c>
      <c r="M146" s="5" t="n">
        <v>30870.45</v>
      </c>
      <c r="N146" s="5" t="n">
        <v>2672.789999999997</v>
      </c>
      <c r="O146" s="6" t="n">
        <v>0.92</v>
      </c>
      <c r="P146" s="6" t="n">
        <v>0.9203</v>
      </c>
    </row>
    <row r="147">
      <c r="A147" s="4" t="inlineStr">
        <is>
          <t>25-PC-32861</t>
        </is>
      </c>
      <c r="B147" s="4" t="inlineStr">
        <is>
          <t>Yarrow Point Architectural History Survey</t>
        </is>
      </c>
      <c r="C147" s="4" t="inlineStr">
        <is>
          <t>In Progress</t>
        </is>
      </c>
      <c r="D147" s="4" t="inlineStr">
        <is>
          <t>Fixed fee</t>
        </is>
      </c>
      <c r="E147" s="4" t="inlineStr">
        <is>
          <t>Front Range</t>
        </is>
      </c>
      <c r="F147" s="4" t="inlineStr">
        <is>
          <t>Dean Velazquez</t>
        </is>
      </c>
      <c r="G147" s="5" t="n">
        <v>59200</v>
      </c>
      <c r="H147" s="5" t="n">
        <v>59200</v>
      </c>
      <c r="I147" s="5" t="n">
        <v>54224.79</v>
      </c>
      <c r="J147" s="5" t="n">
        <v>41555.52</v>
      </c>
      <c r="K147" s="5" t="n">
        <v>31694.67</v>
      </c>
      <c r="L147" s="5" t="n">
        <v>9860.85</v>
      </c>
      <c r="M147" s="5" t="n">
        <v>49895.36</v>
      </c>
      <c r="N147" s="5" t="n">
        <v>-8339.840000000004</v>
      </c>
      <c r="O147" s="6" t="n">
        <v>1</v>
      </c>
      <c r="P147" s="6" t="n">
        <v>1.2007</v>
      </c>
    </row>
    <row r="148">
      <c r="A148" s="4" t="inlineStr">
        <is>
          <t>25-PC-32899</t>
        </is>
      </c>
      <c r="B148" s="4" t="inlineStr">
        <is>
          <t>Lone Pine Mixed-Use Development Phase I Survey</t>
        </is>
      </c>
      <c r="C148" s="4" t="inlineStr">
        <is>
          <t>In Progress</t>
        </is>
      </c>
      <c r="D148" s="4" t="inlineStr">
        <is>
          <t>Fixed fee</t>
        </is>
      </c>
      <c r="E148" s="4" t="inlineStr">
        <is>
          <t>Front Range</t>
        </is>
      </c>
      <c r="F148" s="4" t="inlineStr">
        <is>
          <t>Jeremy Tran</t>
        </is>
      </c>
      <c r="G148" s="5" t="n">
        <v>59600</v>
      </c>
      <c r="H148" s="5" t="n">
        <v>59600</v>
      </c>
      <c r="I148" s="5" t="n">
        <v>57228.13</v>
      </c>
      <c r="J148" s="5" t="n">
        <v>51399.04</v>
      </c>
      <c r="K148" s="5" t="n">
        <v>51399.04</v>
      </c>
      <c r="L148" s="5" t="n">
        <v>0</v>
      </c>
      <c r="M148" s="5" t="n">
        <v>74823.59</v>
      </c>
      <c r="N148" s="5" t="n">
        <v>-23424.55</v>
      </c>
      <c r="O148" s="6" t="n">
        <v>1</v>
      </c>
      <c r="P148" s="6" t="n">
        <v>1.4557</v>
      </c>
    </row>
    <row r="149">
      <c r="A149" s="4" t="inlineStr">
        <is>
          <t>25-PC-32911</t>
        </is>
      </c>
      <c r="B149" s="4" t="inlineStr">
        <is>
          <t>Twin Buttes Wind Farm - Cultural Resources Monitoring</t>
        </is>
      </c>
      <c r="C149" s="4" t="inlineStr">
        <is>
          <t>Lab/Curation</t>
        </is>
      </c>
      <c r="D149" s="4" t="inlineStr">
        <is>
          <t>Time and material</t>
        </is>
      </c>
      <c r="E149" s="4" t="inlineStr">
        <is>
          <t>Front Range</t>
        </is>
      </c>
      <c r="F149" s="4" t="inlineStr">
        <is>
          <t>Jeremy Tran</t>
        </is>
      </c>
      <c r="G149" s="5" t="n">
        <v>13300</v>
      </c>
      <c r="H149" s="5" t="n">
        <v>13300</v>
      </c>
      <c r="I149" s="5" t="n">
        <v>13300</v>
      </c>
      <c r="J149" s="5" t="n">
        <v>8727.43</v>
      </c>
      <c r="K149" s="5" t="n">
        <v>6386.48</v>
      </c>
      <c r="L149" s="5" t="n">
        <v>2340.95</v>
      </c>
      <c r="M149" s="5" t="n">
        <v>16463.41</v>
      </c>
      <c r="N149" s="5" t="n">
        <v>-7735.98</v>
      </c>
      <c r="O149" s="6" t="n">
        <v>1</v>
      </c>
      <c r="P149" s="6" t="n">
        <v>1.8864</v>
      </c>
    </row>
    <row r="150">
      <c r="A150" s="4" t="inlineStr">
        <is>
          <t>25-PC-33065</t>
        </is>
      </c>
      <c r="B150" s="4" t="inlineStr">
        <is>
          <t>Wren Hollow GIS Mapping</t>
        </is>
      </c>
      <c r="C150" s="4" t="inlineStr">
        <is>
          <t>In Progress</t>
        </is>
      </c>
      <c r="D150" s="4" t="inlineStr">
        <is>
          <t>Fixed fee</t>
        </is>
      </c>
      <c r="E150" s="4" t="inlineStr">
        <is>
          <t>Front Range</t>
        </is>
      </c>
      <c r="F150" s="4" t="inlineStr">
        <is>
          <t>Dean Velazquez</t>
        </is>
      </c>
      <c r="G150" s="5" t="n">
        <v>50400</v>
      </c>
      <c r="H150" s="5" t="n">
        <v>45596.88</v>
      </c>
      <c r="I150" s="5" t="n">
        <v>45596.88</v>
      </c>
      <c r="J150" s="5" t="n">
        <v>40748.4</v>
      </c>
      <c r="K150" s="5" t="n">
        <v>40748.4</v>
      </c>
      <c r="L150" s="5" t="n">
        <v>0</v>
      </c>
      <c r="M150" s="5" t="n">
        <v>36866.22</v>
      </c>
      <c r="N150" s="5" t="n">
        <v>3882.18</v>
      </c>
      <c r="O150" s="6" t="n">
        <v>0.905</v>
      </c>
      <c r="P150" s="6" t="n">
        <v>0.9046999999999999</v>
      </c>
    </row>
    <row r="151">
      <c r="A151" s="4" t="inlineStr">
        <is>
          <t>25-PC-33088</t>
        </is>
      </c>
      <c r="B151" s="4" t="inlineStr">
        <is>
          <t>On-Call: Silver Lake Fiber Route Architectural History Survey</t>
        </is>
      </c>
      <c r="C151" s="4" t="inlineStr">
        <is>
          <t>In Progress</t>
        </is>
      </c>
      <c r="D151" s="4" t="inlineStr">
        <is>
          <t>Fixed fee</t>
        </is>
      </c>
      <c r="E151" s="4" t="inlineStr">
        <is>
          <t>Front Range</t>
        </is>
      </c>
      <c r="F151" s="4" t="inlineStr">
        <is>
          <t>Reginald Vargas</t>
        </is>
      </c>
      <c r="G151" s="5" t="n">
        <v>767800</v>
      </c>
      <c r="H151" s="5" t="n">
        <v>603874.7</v>
      </c>
      <c r="I151" s="5" t="n">
        <v>603874.7</v>
      </c>
      <c r="J151" s="5" t="n">
        <v>553046.34</v>
      </c>
      <c r="K151" s="5" t="n">
        <v>553046.34</v>
      </c>
      <c r="L151" s="5" t="n">
        <v>0</v>
      </c>
      <c r="M151" s="5" t="n">
        <v>434972.87</v>
      </c>
      <c r="N151" s="5" t="n">
        <v>118073.47</v>
      </c>
      <c r="O151" s="6" t="n">
        <v>0.786</v>
      </c>
      <c r="P151" s="6" t="n">
        <v>0.7865</v>
      </c>
    </row>
    <row r="152">
      <c r="A152" s="4" t="inlineStr">
        <is>
          <t>25-PC-33105</t>
        </is>
      </c>
      <c r="B152" s="4" t="inlineStr">
        <is>
          <t>Redbud Data Recovery</t>
        </is>
      </c>
      <c r="C152" s="4" t="inlineStr">
        <is>
          <t>In Progress</t>
        </is>
      </c>
      <c r="D152" s="4" t="inlineStr">
        <is>
          <t>Fixed fee</t>
        </is>
      </c>
      <c r="E152" s="4" t="inlineStr">
        <is>
          <t>Front Range</t>
        </is>
      </c>
      <c r="F152" s="4" t="inlineStr">
        <is>
          <t>Kimberly Daugherty</t>
        </is>
      </c>
      <c r="G152" s="5" t="n">
        <v>3500</v>
      </c>
      <c r="H152" s="5" t="n">
        <v>3500</v>
      </c>
      <c r="I152" s="5" t="n">
        <v>0</v>
      </c>
      <c r="J152" s="5" t="n">
        <v>2324</v>
      </c>
      <c r="K152" s="5" t="n">
        <v>2324</v>
      </c>
      <c r="L152" s="5" t="n">
        <v>0</v>
      </c>
      <c r="M152" s="5" t="n">
        <v>9006.200000000001</v>
      </c>
      <c r="N152" s="5" t="n">
        <v>-6682.200000000001</v>
      </c>
      <c r="O152" s="6" t="n">
        <v>1</v>
      </c>
      <c r="P152" s="6" t="n">
        <v>3.8753</v>
      </c>
    </row>
    <row r="153">
      <c r="A153" s="4" t="inlineStr">
        <is>
          <t>25-PC-33183</t>
        </is>
      </c>
      <c r="B153" s="4" t="inlineStr">
        <is>
          <t>Saltgrass Architectural History Survey</t>
        </is>
      </c>
      <c r="C153" s="4" t="inlineStr">
        <is>
          <t>In Progress</t>
        </is>
      </c>
      <c r="D153" s="4" t="inlineStr">
        <is>
          <t>Fixed fee</t>
        </is>
      </c>
      <c r="E153" s="4" t="inlineStr">
        <is>
          <t>Front Range</t>
        </is>
      </c>
      <c r="F153" s="4" t="inlineStr">
        <is>
          <t>Dean Velazquez</t>
        </is>
      </c>
      <c r="G153" s="5" t="n">
        <v>104500</v>
      </c>
      <c r="H153" s="5" t="n">
        <v>101009.7</v>
      </c>
      <c r="I153" s="5" t="n">
        <v>95400.33</v>
      </c>
      <c r="J153" s="5" t="n">
        <v>79399.10000000001</v>
      </c>
      <c r="K153" s="5" t="n">
        <v>79399.10000000001</v>
      </c>
      <c r="L153" s="5" t="n">
        <v>0</v>
      </c>
      <c r="M153" s="5" t="n">
        <v>76745.42999999999</v>
      </c>
      <c r="N153" s="5" t="n">
        <v>2653.670000000013</v>
      </c>
      <c r="O153" s="6" t="n">
        <v>0.967</v>
      </c>
      <c r="P153" s="6" t="n">
        <v>0.9666</v>
      </c>
    </row>
    <row r="154">
      <c r="A154" s="4" t="inlineStr">
        <is>
          <t>25-PC-33473</t>
        </is>
      </c>
      <c r="B154" s="4" t="inlineStr">
        <is>
          <t>Dove Canyon Bridge Replacement Paleontological Monitoring</t>
        </is>
      </c>
      <c r="C154" s="4" t="inlineStr">
        <is>
          <t>In Progress</t>
        </is>
      </c>
      <c r="D154" s="4" t="inlineStr">
        <is>
          <t>Fixed fee</t>
        </is>
      </c>
      <c r="E154" s="4" t="inlineStr">
        <is>
          <t>Front Range</t>
        </is>
      </c>
      <c r="F154" s="4" t="inlineStr">
        <is>
          <t>Devon Pitts</t>
        </is>
      </c>
      <c r="G154" s="5" t="n">
        <v>41600</v>
      </c>
      <c r="H154" s="5" t="n">
        <v>32406.4</v>
      </c>
      <c r="I154" s="5" t="n">
        <v>32210.19</v>
      </c>
      <c r="J154" s="5" t="n">
        <v>29136.64</v>
      </c>
      <c r="K154" s="5" t="n">
        <v>29136.64</v>
      </c>
      <c r="L154" s="5" t="n">
        <v>0</v>
      </c>
      <c r="M154" s="5" t="n">
        <v>22697.51</v>
      </c>
      <c r="N154" s="5" t="n">
        <v>6439.130000000001</v>
      </c>
      <c r="O154" s="6" t="n">
        <v>0.779</v>
      </c>
      <c r="P154" s="6" t="n">
        <v>0.779</v>
      </c>
    </row>
    <row r="155">
      <c r="A155" s="4" t="inlineStr">
        <is>
          <t>25-PC-33744</t>
        </is>
      </c>
      <c r="B155" s="4" t="inlineStr">
        <is>
          <t>Blue Heron Canal Lining - Curation</t>
        </is>
      </c>
      <c r="C155" s="4" t="inlineStr">
        <is>
          <t>In Progress</t>
        </is>
      </c>
      <c r="D155" s="4" t="inlineStr">
        <is>
          <t>Fixed fee</t>
        </is>
      </c>
      <c r="E155" s="4" t="inlineStr">
        <is>
          <t>Great Lakes</t>
        </is>
      </c>
      <c r="F155" s="4" t="inlineStr">
        <is>
          <t>Nathan Lambert</t>
        </is>
      </c>
      <c r="G155" s="5" t="n">
        <v>87100</v>
      </c>
      <c r="H155" s="5" t="n">
        <v>64332.06</v>
      </c>
      <c r="I155" s="5" t="n">
        <v>64332.06</v>
      </c>
      <c r="J155" s="5" t="n">
        <v>60133.84</v>
      </c>
      <c r="K155" s="5" t="n">
        <v>60133.84</v>
      </c>
      <c r="L155" s="5" t="n">
        <v>0</v>
      </c>
      <c r="M155" s="5" t="n">
        <v>44412.55</v>
      </c>
      <c r="N155" s="5" t="n">
        <v>15721.28999999999</v>
      </c>
      <c r="O155" s="6" t="n">
        <v>0.739</v>
      </c>
      <c r="P155" s="6" t="n">
        <v>0.7386</v>
      </c>
    </row>
    <row r="156">
      <c r="A156" s="4" t="inlineStr">
        <is>
          <t>25-PC-33750</t>
        </is>
      </c>
      <c r="B156" s="4" t="inlineStr">
        <is>
          <t>Kestrel Butte Archaeological Testing</t>
        </is>
      </c>
      <c r="C156" s="4" t="inlineStr">
        <is>
          <t>Transferred Entity</t>
        </is>
      </c>
      <c r="D156" s="4" t="inlineStr">
        <is>
          <t>Fixed fee</t>
        </is>
      </c>
      <c r="E156" s="4" t="inlineStr">
        <is>
          <t>Great Lakes</t>
        </is>
      </c>
      <c r="F156" s="4" t="inlineStr">
        <is>
          <t>Kathleen Galvan</t>
        </is>
      </c>
      <c r="G156" s="5" t="n">
        <v>69600</v>
      </c>
      <c r="H156" s="5" t="n">
        <v>69600</v>
      </c>
      <c r="I156" s="5" t="n">
        <v>64460.42</v>
      </c>
      <c r="J156" s="5" t="n">
        <v>51302.16</v>
      </c>
      <c r="K156" s="5" t="n">
        <v>51302.16</v>
      </c>
      <c r="L156" s="5" t="n">
        <v>0</v>
      </c>
      <c r="M156" s="5" t="n">
        <v>60286.74</v>
      </c>
      <c r="N156" s="5" t="n">
        <v>-8984.579999999994</v>
      </c>
      <c r="O156" s="6" t="n">
        <v>1</v>
      </c>
      <c r="P156" s="6" t="n">
        <v>1.1751</v>
      </c>
    </row>
    <row r="157">
      <c r="A157" s="4" t="inlineStr">
        <is>
          <t>25-PC-33846</t>
        </is>
      </c>
      <c r="B157" s="4" t="inlineStr">
        <is>
          <t>Task Order 30: Bramble Creek Pipeline Environmental Review Support</t>
        </is>
      </c>
      <c r="C157" s="4" t="inlineStr">
        <is>
          <t>Final Reporting/Review</t>
        </is>
      </c>
      <c r="D157" s="4" t="inlineStr">
        <is>
          <t>Fixed fee</t>
        </is>
      </c>
      <c r="E157" s="4" t="inlineStr">
        <is>
          <t>Great Lakes</t>
        </is>
      </c>
      <c r="F157" s="4" t="inlineStr">
        <is>
          <t>Geoffrey Fernandez</t>
        </is>
      </c>
      <c r="G157" s="5" t="n">
        <v>15200</v>
      </c>
      <c r="H157" s="5" t="n">
        <v>15200</v>
      </c>
      <c r="I157" s="5" t="n">
        <v>15200</v>
      </c>
      <c r="J157" s="5" t="n">
        <v>11021.49</v>
      </c>
      <c r="K157" s="5" t="n">
        <v>9579.99</v>
      </c>
      <c r="L157" s="5" t="n">
        <v>1441.5</v>
      </c>
      <c r="M157" s="5" t="n">
        <v>11383.28</v>
      </c>
      <c r="N157" s="5" t="n">
        <v>-361.7900000000009</v>
      </c>
      <c r="O157" s="6" t="n">
        <v>1</v>
      </c>
      <c r="P157" s="6" t="n">
        <v>1.0328</v>
      </c>
    </row>
    <row r="158">
      <c r="A158" s="4" t="inlineStr">
        <is>
          <t>25-PC-33922</t>
        </is>
      </c>
      <c r="B158" s="4" t="inlineStr">
        <is>
          <t>Slate Ridge Data Recovery</t>
        </is>
      </c>
      <c r="C158" s="4" t="inlineStr">
        <is>
          <t>In Progress</t>
        </is>
      </c>
      <c r="D158" s="4" t="inlineStr">
        <is>
          <t>Fixed fee</t>
        </is>
      </c>
      <c r="E158" s="4" t="inlineStr">
        <is>
          <t>Great Lakes</t>
        </is>
      </c>
      <c r="F158" s="4" t="inlineStr">
        <is>
          <t>Nathan Lambert</t>
        </is>
      </c>
      <c r="G158" s="5" t="n">
        <v>22100</v>
      </c>
      <c r="H158" s="5" t="n">
        <v>22100</v>
      </c>
      <c r="I158" s="5" t="n">
        <v>22100</v>
      </c>
      <c r="J158" s="5" t="n">
        <v>16113.11</v>
      </c>
      <c r="K158" s="5" t="n">
        <v>16113.11</v>
      </c>
      <c r="L158" s="5" t="n">
        <v>0</v>
      </c>
      <c r="M158" s="5" t="n">
        <v>33890.09</v>
      </c>
      <c r="N158" s="5" t="n">
        <v>-17776.98</v>
      </c>
      <c r="O158" s="6" t="n">
        <v>1</v>
      </c>
      <c r="P158" s="6" t="n">
        <v>2.1033</v>
      </c>
    </row>
    <row r="159">
      <c r="A159" s="4" t="inlineStr">
        <is>
          <t>25-PC-34176</t>
        </is>
      </c>
      <c r="B159" s="4" t="inlineStr">
        <is>
          <t>Meadowlark Mixed-Use Development - Historic Resources Evaluation</t>
        </is>
      </c>
      <c r="C159" s="4" t="inlineStr">
        <is>
          <t>In Progress</t>
        </is>
      </c>
      <c r="D159" s="4" t="inlineStr">
        <is>
          <t>Time and material</t>
        </is>
      </c>
      <c r="E159" s="4" t="inlineStr">
        <is>
          <t>Great Lakes</t>
        </is>
      </c>
      <c r="F159" s="4" t="inlineStr">
        <is>
          <t>Geoffrey Fernandez</t>
        </is>
      </c>
      <c r="G159" s="5" t="n">
        <v>53000</v>
      </c>
      <c r="H159" s="5" t="n">
        <v>53000</v>
      </c>
      <c r="I159" s="5" t="n">
        <v>53000</v>
      </c>
      <c r="J159" s="5" t="n">
        <v>36718.4</v>
      </c>
      <c r="K159" s="5" t="n">
        <v>36718.4</v>
      </c>
      <c r="L159" s="5" t="n">
        <v>0</v>
      </c>
      <c r="M159" s="5" t="n">
        <v>42629.29</v>
      </c>
      <c r="N159" s="5" t="n">
        <v>-5910.889999999999</v>
      </c>
      <c r="O159" s="6" t="n">
        <v>1</v>
      </c>
      <c r="P159" s="6" t="n">
        <v>1.161</v>
      </c>
    </row>
    <row r="160">
      <c r="A160" s="4" t="inlineStr">
        <is>
          <t>25-PC-34451</t>
        </is>
      </c>
      <c r="B160" s="4" t="inlineStr">
        <is>
          <t>North Fork Curation</t>
        </is>
      </c>
      <c r="C160" s="4" t="inlineStr">
        <is>
          <t>In Progress</t>
        </is>
      </c>
      <c r="D160" s="4" t="inlineStr">
        <is>
          <t>Time and material</t>
        </is>
      </c>
      <c r="E160" s="4" t="inlineStr">
        <is>
          <t>Great Lakes</t>
        </is>
      </c>
      <c r="F160" s="4" t="inlineStr">
        <is>
          <t>Robin Mercado</t>
        </is>
      </c>
      <c r="G160" s="5" t="n">
        <v>46400</v>
      </c>
      <c r="H160" s="5" t="n">
        <v>46400</v>
      </c>
      <c r="I160" s="5" t="n">
        <v>46400</v>
      </c>
      <c r="J160" s="5" t="n">
        <v>32526.4</v>
      </c>
      <c r="K160" s="5" t="n">
        <v>32526.4</v>
      </c>
      <c r="L160" s="5" t="n">
        <v>0</v>
      </c>
      <c r="M160" s="5" t="n">
        <v>41685.4</v>
      </c>
      <c r="N160" s="5" t="n">
        <v>-9159</v>
      </c>
      <c r="O160" s="6" t="n">
        <v>1</v>
      </c>
      <c r="P160" s="6" t="n">
        <v>1.2816</v>
      </c>
    </row>
    <row r="161">
      <c r="A161" s="4" t="inlineStr">
        <is>
          <t>25-PC-34652</t>
        </is>
      </c>
      <c r="B161" s="4" t="inlineStr">
        <is>
          <t>Coyote Springs Section 106 Consultation</t>
        </is>
      </c>
      <c r="C161" s="4" t="inlineStr">
        <is>
          <t>In Progress</t>
        </is>
      </c>
      <c r="D161" s="4" t="inlineStr">
        <is>
          <t>Fixed fee</t>
        </is>
      </c>
      <c r="E161" s="4" t="inlineStr">
        <is>
          <t>Great Lakes</t>
        </is>
      </c>
      <c r="F161" s="4" t="inlineStr">
        <is>
          <t>Gina Beltran</t>
        </is>
      </c>
      <c r="G161" s="5" t="n">
        <v>210700</v>
      </c>
      <c r="H161" s="5" t="n">
        <v>176145.2</v>
      </c>
      <c r="I161" s="5" t="n">
        <v>157854.18</v>
      </c>
      <c r="J161" s="5" t="n">
        <v>180928.09</v>
      </c>
      <c r="K161" s="5" t="n">
        <v>180928.09</v>
      </c>
      <c r="L161" s="5" t="n">
        <v>0</v>
      </c>
      <c r="M161" s="5" t="n">
        <v>151256.79</v>
      </c>
      <c r="N161" s="5" t="n">
        <v>29671.29999999999</v>
      </c>
      <c r="O161" s="6" t="n">
        <v>0.836</v>
      </c>
      <c r="P161" s="6" t="n">
        <v>0.836</v>
      </c>
    </row>
    <row r="162">
      <c r="A162" s="4" t="inlineStr">
        <is>
          <t>25-PC-34780</t>
        </is>
      </c>
      <c r="B162" s="4" t="inlineStr">
        <is>
          <t>Sumac Ridge Canal Lining Paleontological Monitoring</t>
        </is>
      </c>
      <c r="C162" s="4" t="inlineStr">
        <is>
          <t>In Progress</t>
        </is>
      </c>
      <c r="D162" s="4" t="inlineStr">
        <is>
          <t>Time and material</t>
        </is>
      </c>
      <c r="E162" s="4" t="inlineStr">
        <is>
          <t>Great Lakes</t>
        </is>
      </c>
      <c r="F162" s="4" t="inlineStr">
        <is>
          <t>Gina Beltran</t>
        </is>
      </c>
      <c r="G162" s="5" t="n">
        <v>82200</v>
      </c>
      <c r="H162" s="5" t="n">
        <v>82200</v>
      </c>
      <c r="I162" s="5" t="n">
        <v>65071.92</v>
      </c>
      <c r="J162" s="5" t="n">
        <v>51638.04</v>
      </c>
      <c r="K162" s="5" t="n">
        <v>51638.04</v>
      </c>
      <c r="L162" s="5" t="n">
        <v>0</v>
      </c>
      <c r="M162" s="5" t="n">
        <v>83204.3</v>
      </c>
      <c r="N162" s="5" t="n">
        <v>-31566.26</v>
      </c>
      <c r="O162" s="6" t="n">
        <v>1</v>
      </c>
      <c r="P162" s="6" t="n">
        <v>1.6113</v>
      </c>
    </row>
    <row r="163">
      <c r="A163" s="4" t="inlineStr">
        <is>
          <t>25-PC-34850</t>
        </is>
      </c>
      <c r="B163" s="4" t="inlineStr">
        <is>
          <t>Thistle Down Section 106 Consultation</t>
        </is>
      </c>
      <c r="C163" s="4" t="inlineStr">
        <is>
          <t>In Progress</t>
        </is>
      </c>
      <c r="D163" s="4" t="inlineStr">
        <is>
          <t>Time and material</t>
        </is>
      </c>
      <c r="E163" s="4" t="inlineStr">
        <is>
          <t>Gulf Coast East</t>
        </is>
      </c>
      <c r="F163" s="4" t="inlineStr">
        <is>
          <t>Wyatt Erickson</t>
        </is>
      </c>
      <c r="G163" s="5" t="n">
        <v>201300</v>
      </c>
      <c r="H163" s="5" t="n">
        <v>129963.25</v>
      </c>
      <c r="I163" s="5" t="n">
        <v>120850.25</v>
      </c>
      <c r="J163" s="5" t="n">
        <v>117035.82</v>
      </c>
      <c r="K163" s="5" t="n">
        <v>117035.82</v>
      </c>
      <c r="L163" s="5" t="n">
        <v>0</v>
      </c>
      <c r="M163" s="5" t="n">
        <v>94500.25999999999</v>
      </c>
      <c r="N163" s="5" t="n">
        <v>22535.56000000001</v>
      </c>
      <c r="O163" s="6" t="n">
        <v>0.646</v>
      </c>
      <c r="P163" s="6" t="n">
        <v>0.8074</v>
      </c>
    </row>
    <row r="164">
      <c r="A164" s="4" t="inlineStr">
        <is>
          <t>25-PC-35024</t>
        </is>
      </c>
      <c r="B164" s="4" t="inlineStr">
        <is>
          <t>Sandpiper Water Main - Section 106 Consultation</t>
        </is>
      </c>
      <c r="C164" s="4" t="inlineStr">
        <is>
          <t>In Progress</t>
        </is>
      </c>
      <c r="D164" s="4" t="inlineStr">
        <is>
          <t>Fixed fee</t>
        </is>
      </c>
      <c r="E164" s="4" t="inlineStr">
        <is>
          <t>Gulf Coast</t>
        </is>
      </c>
      <c r="F164" s="4" t="inlineStr">
        <is>
          <t>Wyatt Erickson</t>
        </is>
      </c>
      <c r="G164" s="5" t="n">
        <v>224400</v>
      </c>
      <c r="H164" s="5" t="n">
        <v>157798.08</v>
      </c>
      <c r="I164" s="5" t="n">
        <v>157798.08</v>
      </c>
      <c r="J164" s="5" t="n">
        <v>165046.2</v>
      </c>
      <c r="K164" s="5" t="n">
        <v>165046.2</v>
      </c>
      <c r="L164" s="5" t="n">
        <v>0</v>
      </c>
      <c r="M164" s="5" t="n">
        <v>116067.93</v>
      </c>
      <c r="N164" s="5" t="n">
        <v>48978.27000000002</v>
      </c>
      <c r="O164" s="6" t="n">
        <v>0.703</v>
      </c>
      <c r="P164" s="6" t="n">
        <v>0.7032</v>
      </c>
    </row>
    <row r="165">
      <c r="A165" s="4" t="inlineStr">
        <is>
          <t>25-PC-35040</t>
        </is>
      </c>
      <c r="B165" s="4" t="inlineStr">
        <is>
          <t>Hackberry Bend Rail Siding Class III Survey</t>
        </is>
      </c>
      <c r="C165" s="4" t="inlineStr">
        <is>
          <t>In Progress</t>
        </is>
      </c>
      <c r="D165" s="4" t="inlineStr">
        <is>
          <t>Time and material</t>
        </is>
      </c>
      <c r="E165" s="4" t="inlineStr">
        <is>
          <t>Gulf Coast East</t>
        </is>
      </c>
      <c r="F165" s="4" t="inlineStr">
        <is>
          <t>Bernard Erickson</t>
        </is>
      </c>
      <c r="G165" s="5" t="n">
        <v>71400</v>
      </c>
      <c r="H165" s="5" t="n">
        <v>71400</v>
      </c>
      <c r="I165" s="5" t="n">
        <v>71400</v>
      </c>
      <c r="J165" s="5" t="n">
        <v>48880.44</v>
      </c>
      <c r="K165" s="5" t="n">
        <v>48880.44</v>
      </c>
      <c r="L165" s="5" t="n">
        <v>0</v>
      </c>
      <c r="M165" s="5" t="n">
        <v>56947.79</v>
      </c>
      <c r="N165" s="5" t="n">
        <v>-8067.349999999999</v>
      </c>
      <c r="O165" s="6" t="n">
        <v>1</v>
      </c>
      <c r="P165" s="6" t="n">
        <v>1.165</v>
      </c>
    </row>
    <row r="166">
      <c r="A166" s="4" t="inlineStr">
        <is>
          <t>25-PC-35182</t>
        </is>
      </c>
      <c r="B166" s="4" t="inlineStr">
        <is>
          <t>Rushgrass Draw Battery Storage Architectural History Survey</t>
        </is>
      </c>
      <c r="C166" s="4" t="inlineStr">
        <is>
          <t>In Progress</t>
        </is>
      </c>
      <c r="D166" s="4" t="inlineStr">
        <is>
          <t>Time and material</t>
        </is>
      </c>
      <c r="E166" s="4" t="inlineStr">
        <is>
          <t>Gulf Coast</t>
        </is>
      </c>
      <c r="F166" s="4" t="inlineStr">
        <is>
          <t>Wyatt Erickson</t>
        </is>
      </c>
      <c r="G166" s="5" t="n">
        <v>33200</v>
      </c>
      <c r="H166" s="5" t="n">
        <v>33200</v>
      </c>
      <c r="I166" s="5" t="n">
        <v>31529.2</v>
      </c>
      <c r="J166" s="5" t="n">
        <v>23495.64</v>
      </c>
      <c r="K166" s="5" t="n">
        <v>23495.64</v>
      </c>
      <c r="L166" s="5" t="n">
        <v>0</v>
      </c>
      <c r="M166" s="5" t="n">
        <v>28098.77</v>
      </c>
      <c r="N166" s="5" t="n">
        <v>-4603.130000000001</v>
      </c>
      <c r="O166" s="6" t="n">
        <v>1</v>
      </c>
      <c r="P166" s="6" t="n">
        <v>1.1959</v>
      </c>
    </row>
    <row r="167">
      <c r="A167" s="4" t="inlineStr">
        <is>
          <t>25-PC-35272</t>
        </is>
      </c>
      <c r="B167" s="4" t="inlineStr">
        <is>
          <t>Thistle Down Cell Tower - Historic Resources Evaluation</t>
        </is>
      </c>
      <c r="C167" s="4" t="inlineStr">
        <is>
          <t>In Progress</t>
        </is>
      </c>
      <c r="D167" s="4" t="inlineStr">
        <is>
          <t>Time and material</t>
        </is>
      </c>
      <c r="E167" s="4" t="inlineStr">
        <is>
          <t>Gulf Coast West</t>
        </is>
      </c>
      <c r="F167" s="4" t="inlineStr">
        <is>
          <t>Bernard Erickson</t>
        </is>
      </c>
      <c r="G167" s="5" t="n">
        <v>49900</v>
      </c>
      <c r="H167" s="5" t="n">
        <v>49900</v>
      </c>
      <c r="I167" s="5" t="n">
        <v>47494.52</v>
      </c>
      <c r="J167" s="5" t="n">
        <v>35982.89</v>
      </c>
      <c r="K167" s="5" t="n">
        <v>35982.89</v>
      </c>
      <c r="L167" s="5" t="n">
        <v>0</v>
      </c>
      <c r="M167" s="5" t="n">
        <v>42125.73</v>
      </c>
      <c r="N167" s="5" t="n">
        <v>-6142.840000000004</v>
      </c>
      <c r="O167" s="6" t="n">
        <v>1</v>
      </c>
      <c r="P167" s="6" t="n">
        <v>1.1707</v>
      </c>
    </row>
    <row r="168">
      <c r="A168" s="4" t="inlineStr">
        <is>
          <t>25-PC-35295</t>
        </is>
      </c>
      <c r="B168" s="4" t="inlineStr">
        <is>
          <t>Copper Flats Architectural History Survey</t>
        </is>
      </c>
      <c r="C168" s="4" t="inlineStr">
        <is>
          <t>In Progress</t>
        </is>
      </c>
      <c r="D168" s="4" t="inlineStr">
        <is>
          <t>Time and material</t>
        </is>
      </c>
      <c r="E168" s="4" t="inlineStr">
        <is>
          <t>Gulf Coast East</t>
        </is>
      </c>
      <c r="F168" s="4" t="inlineStr">
        <is>
          <t>Bernard Erickson</t>
        </is>
      </c>
      <c r="G168" s="5" t="n">
        <v>80400</v>
      </c>
      <c r="H168" s="5" t="n">
        <v>54672</v>
      </c>
      <c r="I168" s="5" t="n">
        <v>54672</v>
      </c>
      <c r="J168" s="5" t="n">
        <v>54551.4</v>
      </c>
      <c r="K168" s="5" t="n">
        <v>54551.4</v>
      </c>
      <c r="L168" s="5" t="n">
        <v>0</v>
      </c>
      <c r="M168" s="5" t="n">
        <v>39686.68</v>
      </c>
      <c r="N168" s="5" t="n">
        <v>14864.72</v>
      </c>
      <c r="O168" s="6" t="n">
        <v>0.68</v>
      </c>
      <c r="P168" s="6" t="n">
        <v>0.7275</v>
      </c>
    </row>
    <row r="169">
      <c r="A169" s="4" t="inlineStr">
        <is>
          <t>25-PC-35340</t>
        </is>
      </c>
      <c r="B169" s="4" t="inlineStr">
        <is>
          <t>Goldfinch Bridge Replacement Paleontological Monitoring</t>
        </is>
      </c>
      <c r="C169" s="4" t="inlineStr">
        <is>
          <t>In Progress</t>
        </is>
      </c>
      <c r="D169" s="4" t="inlineStr">
        <is>
          <t>Fixed fee</t>
        </is>
      </c>
      <c r="E169" s="4" t="inlineStr">
        <is>
          <t>Gulf Coast East</t>
        </is>
      </c>
      <c r="F169" s="4" t="inlineStr">
        <is>
          <t>Bernard Erickson</t>
        </is>
      </c>
      <c r="G169" s="5" t="n">
        <v>19400</v>
      </c>
      <c r="H169" s="5" t="n">
        <v>19400</v>
      </c>
      <c r="I169" s="5" t="n">
        <v>15409.48</v>
      </c>
      <c r="J169" s="5" t="n">
        <v>13919.5</v>
      </c>
      <c r="K169" s="5" t="n">
        <v>13919.5</v>
      </c>
      <c r="L169" s="5" t="n">
        <v>0</v>
      </c>
      <c r="M169" s="5" t="n">
        <v>36287.62</v>
      </c>
      <c r="N169" s="5" t="n">
        <v>-22368.12</v>
      </c>
      <c r="O169" s="6" t="n">
        <v>1</v>
      </c>
      <c r="P169" s="6" t="n">
        <v>2.607</v>
      </c>
    </row>
    <row r="170">
      <c r="A170" s="4" t="inlineStr">
        <is>
          <t>25-PC-35361</t>
        </is>
      </c>
      <c r="B170" s="4" t="inlineStr">
        <is>
          <t>Millbrook Fiber Route - Historic Resources Evaluation</t>
        </is>
      </c>
      <c r="C170" s="4" t="inlineStr">
        <is>
          <t>In Progress</t>
        </is>
      </c>
      <c r="D170" s="4" t="inlineStr">
        <is>
          <t>Fixed fee</t>
        </is>
      </c>
      <c r="E170" s="4" t="inlineStr">
        <is>
          <t>Gulf Coast</t>
        </is>
      </c>
      <c r="F170" s="4" t="inlineStr">
        <is>
          <t>Courtney Daugherty</t>
        </is>
      </c>
      <c r="G170" s="5" t="n">
        <v>25100</v>
      </c>
      <c r="H170" s="5" t="n">
        <v>25100</v>
      </c>
      <c r="I170" s="5" t="n">
        <v>24927.65</v>
      </c>
      <c r="J170" s="5" t="n">
        <v>20032.31</v>
      </c>
      <c r="K170" s="5" t="n">
        <v>20032.31</v>
      </c>
      <c r="L170" s="5" t="n">
        <v>0</v>
      </c>
      <c r="M170" s="5" t="n">
        <v>27206.94</v>
      </c>
      <c r="N170" s="5" t="n">
        <v>-7174.629999999997</v>
      </c>
      <c r="O170" s="6" t="n">
        <v>1</v>
      </c>
      <c r="P170" s="6" t="n">
        <v>1.3582</v>
      </c>
    </row>
    <row r="171">
      <c r="A171" s="4" t="inlineStr">
        <is>
          <t>25-PC-35485</t>
        </is>
      </c>
      <c r="B171" s="4" t="inlineStr">
        <is>
          <t>Wren Hollow Transmission Line - Phase I Survey</t>
        </is>
      </c>
      <c r="C171" s="4" t="inlineStr">
        <is>
          <t>In Progress</t>
        </is>
      </c>
      <c r="D171" s="4" t="inlineStr">
        <is>
          <t>Time and material</t>
        </is>
      </c>
      <c r="E171" s="4" t="inlineStr">
        <is>
          <t>High Desert</t>
        </is>
      </c>
      <c r="F171" s="4" t="inlineStr">
        <is>
          <t>Kathy Hurley</t>
        </is>
      </c>
      <c r="G171" s="5" t="n">
        <v>136900</v>
      </c>
      <c r="H171" s="5" t="n">
        <v>136900</v>
      </c>
      <c r="I171" s="5" t="n">
        <v>132838.07</v>
      </c>
      <c r="J171" s="5" t="n">
        <v>90994.45</v>
      </c>
      <c r="K171" s="5" t="n">
        <v>78522.66</v>
      </c>
      <c r="L171" s="5" t="n">
        <v>12471.79</v>
      </c>
      <c r="M171" s="5" t="n">
        <v>119032.95</v>
      </c>
      <c r="N171" s="5" t="n">
        <v>-28038.5</v>
      </c>
      <c r="O171" s="6" t="n">
        <v>1</v>
      </c>
      <c r="P171" s="6" t="n">
        <v>1.3081</v>
      </c>
    </row>
    <row r="172">
      <c r="A172" s="4" t="inlineStr">
        <is>
          <t>25-PC-35496</t>
        </is>
      </c>
      <c r="B172" s="4" t="inlineStr">
        <is>
          <t>Silver Lake Airport Apron Class III Survey</t>
        </is>
      </c>
      <c r="C172" s="4" t="inlineStr">
        <is>
          <t>In Progress</t>
        </is>
      </c>
      <c r="D172" s="4" t="inlineStr">
        <is>
          <t>Time and material</t>
        </is>
      </c>
      <c r="E172" s="4" t="inlineStr">
        <is>
          <t>High Desert</t>
        </is>
      </c>
      <c r="F172" s="4" t="inlineStr">
        <is>
          <t>Kathy Hurley</t>
        </is>
      </c>
      <c r="G172" s="5" t="n">
        <v>15200</v>
      </c>
      <c r="H172" s="5" t="n">
        <v>14910.4</v>
      </c>
      <c r="I172" s="5" t="n">
        <v>14910.4</v>
      </c>
      <c r="J172" s="5" t="n">
        <v>10132.32</v>
      </c>
      <c r="K172" s="5" t="n">
        <v>10132.32</v>
      </c>
      <c r="L172" s="5" t="n">
        <v>0</v>
      </c>
      <c r="M172" s="5" t="n">
        <v>10426.69</v>
      </c>
      <c r="N172" s="5" t="n">
        <v>-294.3700000000008</v>
      </c>
      <c r="O172" s="6" t="n">
        <v>0.981</v>
      </c>
      <c r="P172" s="6" t="n">
        <v>1.0291</v>
      </c>
    </row>
    <row r="173">
      <c r="A173" s="4" t="inlineStr">
        <is>
          <t>25-PC-35525</t>
        </is>
      </c>
      <c r="B173" s="4" t="inlineStr">
        <is>
          <t>Dove Canyon Rail Siding - Section 106 Consultation</t>
        </is>
      </c>
      <c r="C173" s="4" t="inlineStr">
        <is>
          <t>In Progress</t>
        </is>
      </c>
      <c r="D173" s="4" t="inlineStr">
        <is>
          <t>Fixed fee</t>
        </is>
      </c>
      <c r="E173" s="4" t="inlineStr">
        <is>
          <t>High Desert</t>
        </is>
      </c>
      <c r="F173" s="4" t="inlineStr">
        <is>
          <t>Bridget Maddox</t>
        </is>
      </c>
      <c r="G173" s="5" t="n">
        <v>98800</v>
      </c>
      <c r="H173" s="5" t="n">
        <v>77370.28</v>
      </c>
      <c r="I173" s="5" t="n">
        <v>77370.28</v>
      </c>
      <c r="J173" s="5" t="n">
        <v>78447.2</v>
      </c>
      <c r="K173" s="5" t="n">
        <v>78447.2</v>
      </c>
      <c r="L173" s="5" t="n">
        <v>0</v>
      </c>
      <c r="M173" s="5" t="n">
        <v>61430.39</v>
      </c>
      <c r="N173" s="5" t="n">
        <v>17016.81</v>
      </c>
      <c r="O173" s="6" t="n">
        <v>0.783</v>
      </c>
      <c r="P173" s="6" t="n">
        <v>0.7831</v>
      </c>
    </row>
    <row r="174">
      <c r="A174" s="4" t="inlineStr">
        <is>
          <t>25-PC-35761</t>
        </is>
      </c>
      <c r="B174" s="4" t="inlineStr">
        <is>
          <t>Hackberry Bend Transmission Line Archaeological Testing</t>
        </is>
      </c>
      <c r="C174" s="4" t="inlineStr">
        <is>
          <t>In Progress</t>
        </is>
      </c>
      <c r="D174" s="4" t="inlineStr">
        <is>
          <t>Fixed fee</t>
        </is>
      </c>
      <c r="E174" s="4" t="inlineStr">
        <is>
          <t>High Desert</t>
        </is>
      </c>
      <c r="F174" s="4" t="inlineStr">
        <is>
          <t>Kathy Hurley</t>
        </is>
      </c>
      <c r="G174" s="5" t="n">
        <v>204800</v>
      </c>
      <c r="H174" s="5" t="n">
        <v>204800</v>
      </c>
      <c r="I174" s="5" t="n">
        <v>187347.98</v>
      </c>
      <c r="J174" s="5" t="n">
        <v>136396.8</v>
      </c>
      <c r="K174" s="5" t="n">
        <v>136396.8</v>
      </c>
      <c r="L174" s="5" t="n">
        <v>0</v>
      </c>
      <c r="M174" s="5" t="n">
        <v>140077.69</v>
      </c>
      <c r="N174" s="5" t="n">
        <v>-3680.890000000014</v>
      </c>
      <c r="O174" s="6" t="n">
        <v>1</v>
      </c>
      <c r="P174" s="6" t="n">
        <v>1.027</v>
      </c>
    </row>
    <row r="175">
      <c r="A175" s="4" t="inlineStr">
        <is>
          <t>25-PC-35897</t>
        </is>
      </c>
      <c r="B175" s="4" t="inlineStr">
        <is>
          <t>Phase I: Riverbend Wastewater Plant Class III Survey</t>
        </is>
      </c>
      <c r="C175" s="4" t="inlineStr">
        <is>
          <t>In Progress</t>
        </is>
      </c>
      <c r="D175" s="4" t="inlineStr">
        <is>
          <t>Fixed fee</t>
        </is>
      </c>
      <c r="E175" s="4" t="inlineStr">
        <is>
          <t>High Desert</t>
        </is>
      </c>
      <c r="F175" s="4" t="inlineStr">
        <is>
          <t>Jody Wang</t>
        </is>
      </c>
      <c r="G175" s="5" t="n">
        <v>83700</v>
      </c>
      <c r="H175" s="5" t="n">
        <v>76761.27</v>
      </c>
      <c r="I175" s="5" t="n">
        <v>76761.27</v>
      </c>
      <c r="J175" s="5" t="n">
        <v>61050.78</v>
      </c>
      <c r="K175" s="5" t="n">
        <v>61050.78</v>
      </c>
      <c r="L175" s="5" t="n">
        <v>0</v>
      </c>
      <c r="M175" s="5" t="n">
        <v>55992.16</v>
      </c>
      <c r="N175" s="5" t="n">
        <v>5058.619999999995</v>
      </c>
      <c r="O175" s="6" t="n">
        <v>0.917</v>
      </c>
      <c r="P175" s="6" t="n">
        <v>0.9171</v>
      </c>
    </row>
    <row r="176">
      <c r="A176" s="4" t="inlineStr">
        <is>
          <t>25-PC-35963</t>
        </is>
      </c>
      <c r="B176" s="4" t="inlineStr">
        <is>
          <t>Quail Run Substation - Section 106 Consultation</t>
        </is>
      </c>
      <c r="C176" s="4" t="inlineStr">
        <is>
          <t>In Progress</t>
        </is>
      </c>
      <c r="D176" s="4" t="inlineStr">
        <is>
          <t>Time and material</t>
        </is>
      </c>
      <c r="E176" s="4" t="inlineStr">
        <is>
          <t>High Desert</t>
        </is>
      </c>
      <c r="F176" s="4" t="inlineStr">
        <is>
          <t>Kathy Hurley</t>
        </is>
      </c>
      <c r="G176" s="5" t="n">
        <v>320000</v>
      </c>
      <c r="H176" s="5" t="n">
        <v>290771</v>
      </c>
      <c r="I176" s="5" t="n">
        <v>290771</v>
      </c>
      <c r="J176" s="5" t="n">
        <v>216192</v>
      </c>
      <c r="K176" s="5" t="n">
        <v>216192</v>
      </c>
      <c r="L176" s="5" t="n">
        <v>0</v>
      </c>
      <c r="M176" s="5" t="n">
        <v>202041.59</v>
      </c>
      <c r="N176" s="5" t="n">
        <v>14150.41</v>
      </c>
      <c r="O176" s="6" t="n">
        <v>0.909</v>
      </c>
      <c r="P176" s="6" t="n">
        <v>0.9345</v>
      </c>
    </row>
    <row r="177">
      <c r="A177" s="4" t="inlineStr">
        <is>
          <t>25-PC-36129</t>
        </is>
      </c>
      <c r="B177" s="4" t="inlineStr">
        <is>
          <t>Larkspur Rail Siding Environmental Review Support</t>
        </is>
      </c>
      <c r="C177" s="4" t="inlineStr">
        <is>
          <t>In Progress</t>
        </is>
      </c>
      <c r="D177" s="4" t="inlineStr">
        <is>
          <t>Time and material</t>
        </is>
      </c>
      <c r="E177" s="4" t="inlineStr">
        <is>
          <t>High Desert</t>
        </is>
      </c>
      <c r="F177" s="4" t="inlineStr">
        <is>
          <t>Kathy Hurley</t>
        </is>
      </c>
      <c r="G177" s="5" t="n">
        <v>114200</v>
      </c>
      <c r="H177" s="5" t="n">
        <v>114200</v>
      </c>
      <c r="I177" s="5" t="n">
        <v>114200</v>
      </c>
      <c r="J177" s="5" t="n">
        <v>78124.22</v>
      </c>
      <c r="K177" s="5" t="n">
        <v>78124.22</v>
      </c>
      <c r="L177" s="5" t="n">
        <v>0</v>
      </c>
      <c r="M177" s="5" t="n">
        <v>79562.78999999999</v>
      </c>
      <c r="N177" s="5" t="n">
        <v>-1438.569999999992</v>
      </c>
      <c r="O177" s="6" t="n">
        <v>1</v>
      </c>
      <c r="P177" s="6" t="n">
        <v>1.0184</v>
      </c>
    </row>
    <row r="178">
      <c r="A178" s="4" t="inlineStr">
        <is>
          <t>25-PC-36251</t>
        </is>
      </c>
      <c r="B178" s="4" t="inlineStr">
        <is>
          <t>Kestrel Butte Environmental Review Support</t>
        </is>
      </c>
      <c r="C178" s="4" t="inlineStr">
        <is>
          <t>Lab/Curation</t>
        </is>
      </c>
      <c r="D178" s="4" t="inlineStr">
        <is>
          <t>Fixed fee</t>
        </is>
      </c>
      <c r="E178" s="4" t="inlineStr">
        <is>
          <t>Island</t>
        </is>
      </c>
      <c r="F178" s="4" t="inlineStr">
        <is>
          <t>Joan Mathis</t>
        </is>
      </c>
      <c r="G178" s="5" t="n">
        <v>39200</v>
      </c>
      <c r="H178" s="5" t="n">
        <v>39200</v>
      </c>
      <c r="I178" s="5" t="n">
        <v>39200</v>
      </c>
      <c r="J178" s="5" t="n">
        <v>30446.64</v>
      </c>
      <c r="K178" s="5" t="n">
        <v>30446.64</v>
      </c>
      <c r="L178" s="5" t="n">
        <v>0</v>
      </c>
      <c r="M178" s="5" t="n">
        <v>49335.55</v>
      </c>
      <c r="N178" s="5" t="n">
        <v>-18888.91</v>
      </c>
      <c r="O178" s="6" t="n">
        <v>1</v>
      </c>
      <c r="P178" s="6" t="n">
        <v>1.6204</v>
      </c>
    </row>
    <row r="179">
      <c r="A179" s="4" t="inlineStr">
        <is>
          <t>25-PC-36263</t>
        </is>
      </c>
      <c r="B179" s="4" t="inlineStr">
        <is>
          <t>Creosote Draw Highway Widening - Class III Survey</t>
        </is>
      </c>
      <c r="C179" s="4" t="inlineStr">
        <is>
          <t>In Progress</t>
        </is>
      </c>
      <c r="D179" s="4" t="inlineStr">
        <is>
          <t>Time and material</t>
        </is>
      </c>
      <c r="E179" s="4" t="inlineStr">
        <is>
          <t>Island</t>
        </is>
      </c>
      <c r="F179" s="4" t="inlineStr">
        <is>
          <t>Joan Mathis</t>
        </is>
      </c>
      <c r="G179" s="5" t="n">
        <v>28100</v>
      </c>
      <c r="H179" s="5" t="n">
        <v>24522.2</v>
      </c>
      <c r="I179" s="5" t="n">
        <v>24500.73</v>
      </c>
      <c r="J179" s="5" t="n">
        <v>19141.72</v>
      </c>
      <c r="K179" s="5" t="n">
        <v>19141.72</v>
      </c>
      <c r="L179" s="5" t="n">
        <v>0</v>
      </c>
      <c r="M179" s="5" t="n">
        <v>16573.11</v>
      </c>
      <c r="N179" s="5" t="n">
        <v>2568.610000000001</v>
      </c>
      <c r="O179" s="6" t="n">
        <v>0.873</v>
      </c>
      <c r="P179" s="6" t="n">
        <v>0.8658</v>
      </c>
    </row>
    <row r="180">
      <c r="A180" s="4" t="inlineStr">
        <is>
          <t>25-PC-36336</t>
        </is>
      </c>
      <c r="B180" s="4" t="inlineStr">
        <is>
          <t>Sea Oat Canal Lining Data Recovery</t>
        </is>
      </c>
      <c r="C180" s="4" t="inlineStr">
        <is>
          <t>In Progress</t>
        </is>
      </c>
      <c r="D180" s="4" t="inlineStr">
        <is>
          <t>Fixed fee</t>
        </is>
      </c>
      <c r="E180" s="4" t="inlineStr">
        <is>
          <t>Island</t>
        </is>
      </c>
      <c r="F180" s="4" t="inlineStr">
        <is>
          <t>Briana Melton</t>
        </is>
      </c>
      <c r="G180" s="5" t="n">
        <v>36400</v>
      </c>
      <c r="H180" s="5" t="n">
        <v>33364.24</v>
      </c>
      <c r="I180" s="5" t="n">
        <v>29544.7</v>
      </c>
      <c r="J180" s="5" t="n">
        <v>25854.92</v>
      </c>
      <c r="K180" s="5" t="n">
        <v>25854.92</v>
      </c>
      <c r="L180" s="5" t="n">
        <v>0</v>
      </c>
      <c r="M180" s="5" t="n">
        <v>23699.14</v>
      </c>
      <c r="N180" s="5" t="n">
        <v>2155.779999999999</v>
      </c>
      <c r="O180" s="6" t="n">
        <v>0.917</v>
      </c>
      <c r="P180" s="6" t="n">
        <v>0.9166</v>
      </c>
    </row>
    <row r="181">
      <c r="A181" s="4" t="inlineStr">
        <is>
          <t>25-PC-36485</t>
        </is>
      </c>
      <c r="B181" s="4" t="inlineStr">
        <is>
          <t>Task Order 2: Larkspur Substation Historic Resources Evaluation</t>
        </is>
      </c>
      <c r="C181" s="4" t="inlineStr">
        <is>
          <t>In Progress</t>
        </is>
      </c>
      <c r="D181" s="4" t="inlineStr">
        <is>
          <t>Fixed fee</t>
        </is>
      </c>
      <c r="E181" s="4" t="inlineStr">
        <is>
          <t>Island</t>
        </is>
      </c>
      <c r="F181" s="4" t="inlineStr">
        <is>
          <t>Becky Velazquez</t>
        </is>
      </c>
      <c r="G181" s="5" t="n">
        <v>33100</v>
      </c>
      <c r="H181" s="5" t="n">
        <v>33100</v>
      </c>
      <c r="I181" s="5" t="n">
        <v>33100</v>
      </c>
      <c r="J181" s="5" t="n">
        <v>25870.96</v>
      </c>
      <c r="K181" s="5" t="n">
        <v>25870.96</v>
      </c>
      <c r="L181" s="5" t="n">
        <v>0</v>
      </c>
      <c r="M181" s="5" t="n">
        <v>34277.75</v>
      </c>
      <c r="N181" s="5" t="n">
        <v>-8406.790000000001</v>
      </c>
      <c r="O181" s="6" t="n">
        <v>1</v>
      </c>
      <c r="P181" s="6" t="n">
        <v>1.325</v>
      </c>
    </row>
    <row r="182">
      <c r="A182" s="4" t="inlineStr">
        <is>
          <t>25-PC-36507</t>
        </is>
      </c>
      <c r="B182" s="4" t="inlineStr">
        <is>
          <t>Saltgrass Cell Tower Phase II Testing</t>
        </is>
      </c>
      <c r="C182" s="4" t="inlineStr">
        <is>
          <t>In Progress</t>
        </is>
      </c>
      <c r="D182" s="4" t="inlineStr">
        <is>
          <t>Fixed fee</t>
        </is>
      </c>
      <c r="E182" s="4" t="inlineStr">
        <is>
          <t>Island</t>
        </is>
      </c>
      <c r="F182" s="4" t="inlineStr">
        <is>
          <t>Joan Mathis</t>
        </is>
      </c>
      <c r="G182" s="5" t="n">
        <v>88300</v>
      </c>
      <c r="H182" s="5" t="n">
        <v>68397.17999999999</v>
      </c>
      <c r="I182" s="5" t="n">
        <v>67497.39999999999</v>
      </c>
      <c r="J182" s="5" t="n">
        <v>54269.18</v>
      </c>
      <c r="K182" s="5" t="n">
        <v>54269.18</v>
      </c>
      <c r="L182" s="5" t="n">
        <v>0</v>
      </c>
      <c r="M182" s="5" t="n">
        <v>42036.07</v>
      </c>
      <c r="N182" s="5" t="n">
        <v>12233.11</v>
      </c>
      <c r="O182" s="6" t="n">
        <v>0.775</v>
      </c>
      <c r="P182" s="6" t="n">
        <v>0.7746</v>
      </c>
    </row>
    <row r="183">
      <c r="A183" s="4" t="inlineStr">
        <is>
          <t>25-PC-36573</t>
        </is>
      </c>
      <c r="B183" s="4" t="inlineStr">
        <is>
          <t>Eagle Bend Rail Siding - Maritime Remote Sensing Survey</t>
        </is>
      </c>
      <c r="C183" s="4" t="inlineStr">
        <is>
          <t>In Progress</t>
        </is>
      </c>
      <c r="D183" s="4" t="inlineStr">
        <is>
          <t>Fixed fee</t>
        </is>
      </c>
      <c r="E183" s="4" t="inlineStr">
        <is>
          <t>Island</t>
        </is>
      </c>
      <c r="F183" s="4" t="inlineStr">
        <is>
          <t>Becky Velazquez</t>
        </is>
      </c>
      <c r="G183" s="5" t="n">
        <v>116000</v>
      </c>
      <c r="H183" s="5" t="n">
        <v>85573.2</v>
      </c>
      <c r="I183" s="5" t="n">
        <v>85573.2</v>
      </c>
      <c r="J183" s="5" t="n">
        <v>66050.39999999999</v>
      </c>
      <c r="K183" s="5" t="n">
        <v>66050.39999999999</v>
      </c>
      <c r="L183" s="5" t="n">
        <v>0</v>
      </c>
      <c r="M183" s="5" t="n">
        <v>48723.63</v>
      </c>
      <c r="N183" s="5" t="n">
        <v>17326.77</v>
      </c>
      <c r="O183" s="6" t="n">
        <v>0.738</v>
      </c>
      <c r="P183" s="6" t="n">
        <v>0.7377</v>
      </c>
    </row>
    <row r="184">
      <c r="A184" s="4" t="inlineStr">
        <is>
          <t>25-PC-36641</t>
        </is>
      </c>
      <c r="B184" s="4" t="inlineStr">
        <is>
          <t>Sparrow Hill Airport Apron Phase II Testing</t>
        </is>
      </c>
      <c r="C184" s="4" t="inlineStr">
        <is>
          <t>In Progress</t>
        </is>
      </c>
      <c r="D184" s="4" t="inlineStr">
        <is>
          <t>Time and material</t>
        </is>
      </c>
      <c r="E184" s="4" t="inlineStr">
        <is>
          <t>Lakeshore</t>
        </is>
      </c>
      <c r="F184" s="4" t="inlineStr">
        <is>
          <t>Lucas Benson</t>
        </is>
      </c>
      <c r="G184" s="5" t="n">
        <v>181300</v>
      </c>
      <c r="H184" s="5" t="n">
        <v>181300</v>
      </c>
      <c r="I184" s="5" t="n">
        <v>174825.53</v>
      </c>
      <c r="J184" s="5" t="n">
        <v>117609.31</v>
      </c>
      <c r="K184" s="5" t="n">
        <v>117609.31</v>
      </c>
      <c r="L184" s="5" t="n">
        <v>0</v>
      </c>
      <c r="M184" s="5" t="n">
        <v>164790.18</v>
      </c>
      <c r="N184" s="5" t="n">
        <v>-47180.87</v>
      </c>
      <c r="O184" s="6" t="n">
        <v>1</v>
      </c>
      <c r="P184" s="6" t="n">
        <v>1.4012</v>
      </c>
    </row>
    <row r="185">
      <c r="A185" s="4" t="inlineStr">
        <is>
          <t>25-PC-36645</t>
        </is>
      </c>
      <c r="B185" s="4" t="inlineStr">
        <is>
          <t>Falcon Mesa Archaeological Testing</t>
        </is>
      </c>
      <c r="C185" s="4" t="inlineStr">
        <is>
          <t>In Progress</t>
        </is>
      </c>
      <c r="D185" s="4" t="inlineStr">
        <is>
          <t>Fixed fee</t>
        </is>
      </c>
      <c r="E185" s="4" t="inlineStr">
        <is>
          <t>Lakeshore</t>
        </is>
      </c>
      <c r="F185" s="4" t="inlineStr">
        <is>
          <t>Jeanette Riddle</t>
        </is>
      </c>
      <c r="G185" s="5" t="n">
        <v>25400</v>
      </c>
      <c r="H185" s="5" t="n">
        <v>25400</v>
      </c>
      <c r="I185" s="5" t="n">
        <v>24158.24</v>
      </c>
      <c r="J185" s="5" t="n">
        <v>20302.22</v>
      </c>
      <c r="K185" s="5" t="n">
        <v>20302.22</v>
      </c>
      <c r="L185" s="5" t="n">
        <v>0</v>
      </c>
      <c r="M185" s="5" t="n">
        <v>38922.61</v>
      </c>
      <c r="N185" s="5" t="n">
        <v>-18620.39</v>
      </c>
      <c r="O185" s="6" t="n">
        <v>1</v>
      </c>
      <c r="P185" s="6" t="n">
        <v>1.9172</v>
      </c>
    </row>
    <row r="186">
      <c r="A186" s="4" t="inlineStr">
        <is>
          <t>25-PC-36646</t>
        </is>
      </c>
      <c r="B186" s="4" t="inlineStr">
        <is>
          <t>Copper Flats Pipeline Section 106 Consultation</t>
        </is>
      </c>
      <c r="C186" s="4" t="inlineStr">
        <is>
          <t>In Progress</t>
        </is>
      </c>
      <c r="D186" s="4" t="inlineStr">
        <is>
          <t>Time and material</t>
        </is>
      </c>
      <c r="E186" s="4" t="inlineStr">
        <is>
          <t>Lakeshore</t>
        </is>
      </c>
      <c r="F186" s="4" t="inlineStr">
        <is>
          <t>Lucas Benson</t>
        </is>
      </c>
      <c r="G186" s="5" t="n">
        <v>137400</v>
      </c>
      <c r="H186" s="5" t="n">
        <v>108023.85</v>
      </c>
      <c r="I186" s="5" t="n">
        <v>108023.85</v>
      </c>
      <c r="J186" s="5" t="n">
        <v>99958.5</v>
      </c>
      <c r="K186" s="5" t="n">
        <v>99958.5</v>
      </c>
      <c r="L186" s="5" t="n">
        <v>0</v>
      </c>
      <c r="M186" s="5" t="n">
        <v>83440.53999999999</v>
      </c>
      <c r="N186" s="5" t="n">
        <v>16517.96000000001</v>
      </c>
      <c r="O186" s="6" t="n">
        <v>0.786</v>
      </c>
      <c r="P186" s="6" t="n">
        <v>0.8348</v>
      </c>
    </row>
    <row r="187">
      <c r="A187" s="4" t="inlineStr">
        <is>
          <t>25-PC-36761</t>
        </is>
      </c>
      <c r="B187" s="4" t="inlineStr">
        <is>
          <t>Copper Flats Mine Expansion Built Environment Survey</t>
        </is>
      </c>
      <c r="C187" s="4" t="inlineStr">
        <is>
          <t>Final Reporting/Review</t>
        </is>
      </c>
      <c r="D187" s="4" t="inlineStr">
        <is>
          <t>Fixed fee</t>
        </is>
      </c>
      <c r="E187" s="4" t="inlineStr">
        <is>
          <t>Lakeshore</t>
        </is>
      </c>
      <c r="F187" s="4" t="inlineStr">
        <is>
          <t>Jeanette Riddle</t>
        </is>
      </c>
      <c r="G187" s="5" t="n">
        <v>74000</v>
      </c>
      <c r="H187" s="5" t="n">
        <v>74000</v>
      </c>
      <c r="I187" s="5" t="n">
        <v>66065.35000000001</v>
      </c>
      <c r="J187" s="5" t="n">
        <v>56358.4</v>
      </c>
      <c r="K187" s="5" t="n">
        <v>56358.4</v>
      </c>
      <c r="L187" s="5" t="n">
        <v>0</v>
      </c>
      <c r="M187" s="5" t="n">
        <v>66079.16</v>
      </c>
      <c r="N187" s="5" t="n">
        <v>-9720.760000000002</v>
      </c>
      <c r="O187" s="6" t="n">
        <v>1</v>
      </c>
      <c r="P187" s="6" t="n">
        <v>1.1725</v>
      </c>
    </row>
    <row r="188">
      <c r="A188" s="4" t="inlineStr">
        <is>
          <t>25-PC-36799</t>
        </is>
      </c>
      <c r="B188" s="4" t="inlineStr">
        <is>
          <t>Meadowlark Substation Phase I Survey</t>
        </is>
      </c>
      <c r="C188" s="4" t="inlineStr">
        <is>
          <t>Final Reporting/Review</t>
        </is>
      </c>
      <c r="D188" s="4" t="inlineStr">
        <is>
          <t>Fixed fee</t>
        </is>
      </c>
      <c r="E188" s="4" t="inlineStr">
        <is>
          <t>Hill Country</t>
        </is>
      </c>
      <c r="F188" s="4" t="inlineStr">
        <is>
          <t>Gail Meza</t>
        </is>
      </c>
      <c r="G188" s="5" t="n">
        <v>32900</v>
      </c>
      <c r="H188" s="5" t="n">
        <v>32900</v>
      </c>
      <c r="I188" s="5" t="n">
        <v>30883.36</v>
      </c>
      <c r="J188" s="5" t="n">
        <v>26389.09</v>
      </c>
      <c r="K188" s="5" t="n">
        <v>26389.09</v>
      </c>
      <c r="L188" s="5" t="n">
        <v>0</v>
      </c>
      <c r="M188" s="5" t="n">
        <v>33048.52</v>
      </c>
      <c r="N188" s="5" t="n">
        <v>-6659.429999999997</v>
      </c>
      <c r="O188" s="6" t="n">
        <v>1</v>
      </c>
      <c r="P188" s="6" t="n">
        <v>1.2524</v>
      </c>
    </row>
    <row r="189">
      <c r="A189" s="4" t="inlineStr">
        <is>
          <t>25-PC-36809</t>
        </is>
      </c>
      <c r="B189" s="4" t="inlineStr">
        <is>
          <t>Sandpiper Park Improvements - Archaeological Testing</t>
        </is>
      </c>
      <c r="C189" s="4" t="inlineStr">
        <is>
          <t>In Progress</t>
        </is>
      </c>
      <c r="D189" s="4" t="inlineStr">
        <is>
          <t>Fixed fee</t>
        </is>
      </c>
      <c r="E189" s="4" t="inlineStr">
        <is>
          <t>Hill Country</t>
        </is>
      </c>
      <c r="F189" s="4" t="inlineStr">
        <is>
          <t>Samuel Wilkerson</t>
        </is>
      </c>
      <c r="G189" s="5" t="n">
        <v>24200</v>
      </c>
      <c r="H189" s="5" t="n">
        <v>24200</v>
      </c>
      <c r="I189" s="5" t="n">
        <v>22550.8</v>
      </c>
      <c r="J189" s="5" t="n">
        <v>16235.78</v>
      </c>
      <c r="K189" s="5" t="n">
        <v>16235.78</v>
      </c>
      <c r="L189" s="5" t="n">
        <v>0</v>
      </c>
      <c r="M189" s="5" t="n">
        <v>26420.57</v>
      </c>
      <c r="N189" s="5" t="n">
        <v>-10184.79</v>
      </c>
      <c r="O189" s="6" t="n">
        <v>1</v>
      </c>
      <c r="P189" s="6" t="n">
        <v>1.6273</v>
      </c>
    </row>
    <row r="190">
      <c r="A190" s="4" t="inlineStr">
        <is>
          <t>25-PC-37164</t>
        </is>
      </c>
      <c r="B190" s="4" t="inlineStr">
        <is>
          <t>Yarrow Point Wastewater Plant - Phase I Survey</t>
        </is>
      </c>
      <c r="C190" s="4" t="inlineStr">
        <is>
          <t>In Progress</t>
        </is>
      </c>
      <c r="D190" s="4" t="inlineStr">
        <is>
          <t>Time and material</t>
        </is>
      </c>
      <c r="E190" s="4" t="inlineStr">
        <is>
          <t>Hill Country</t>
        </is>
      </c>
      <c r="F190" s="4" t="inlineStr">
        <is>
          <t>Glen Delacruz</t>
        </is>
      </c>
      <c r="G190" s="5" t="n">
        <v>75400</v>
      </c>
      <c r="H190" s="5" t="n">
        <v>75400</v>
      </c>
      <c r="I190" s="5" t="n">
        <v>71354.11</v>
      </c>
      <c r="J190" s="5" t="n">
        <v>50299.34</v>
      </c>
      <c r="K190" s="5" t="n">
        <v>50299.34</v>
      </c>
      <c r="L190" s="5" t="n">
        <v>0</v>
      </c>
      <c r="M190" s="5" t="n">
        <v>90901.92</v>
      </c>
      <c r="N190" s="5" t="n">
        <v>-40602.58</v>
      </c>
      <c r="O190" s="6" t="n">
        <v>1</v>
      </c>
      <c r="P190" s="6" t="n">
        <v>1.8072</v>
      </c>
    </row>
    <row r="191">
      <c r="A191" s="4" t="inlineStr">
        <is>
          <t>25-PC-37392</t>
        </is>
      </c>
      <c r="B191" s="4" t="inlineStr">
        <is>
          <t>Eagle Bend Wind Farm - Phase I Survey</t>
        </is>
      </c>
      <c r="C191" s="4" t="inlineStr">
        <is>
          <t>In Progress</t>
        </is>
      </c>
      <c r="D191" s="4" t="inlineStr">
        <is>
          <t>Fixed fee</t>
        </is>
      </c>
      <c r="E191" s="4" t="inlineStr">
        <is>
          <t>Piedmont</t>
        </is>
      </c>
      <c r="F191" s="4" t="inlineStr">
        <is>
          <t>Maria Parrish</t>
        </is>
      </c>
      <c r="G191" s="5" t="n">
        <v>59200</v>
      </c>
      <c r="H191" s="5" t="n">
        <v>54913.92</v>
      </c>
      <c r="I191" s="5" t="n">
        <v>54913.92</v>
      </c>
      <c r="J191" s="5" t="n">
        <v>50698.88</v>
      </c>
      <c r="K191" s="5" t="n">
        <v>50698.88</v>
      </c>
      <c r="L191" s="5" t="n">
        <v>0</v>
      </c>
      <c r="M191" s="5" t="n">
        <v>47030.53</v>
      </c>
      <c r="N191" s="5" t="n">
        <v>3668.349999999999</v>
      </c>
      <c r="O191" s="6" t="n">
        <v>0.928</v>
      </c>
      <c r="P191" s="6" t="n">
        <v>0.9276</v>
      </c>
    </row>
    <row r="192">
      <c r="A192" s="4" t="inlineStr">
        <is>
          <t>25-PC-37461</t>
        </is>
      </c>
      <c r="B192" s="4" t="inlineStr">
        <is>
          <t>On-Call: Dove Canyon Fiber Route Cultural Resources Monitoring</t>
        </is>
      </c>
      <c r="C192" s="4" t="inlineStr">
        <is>
          <t>Cost Tracking on Closed Project</t>
        </is>
      </c>
      <c r="D192" s="4" t="inlineStr">
        <is>
          <t>Time and material</t>
        </is>
      </c>
      <c r="E192" s="4" t="inlineStr">
        <is>
          <t>Piedmont</t>
        </is>
      </c>
      <c r="F192" s="4" t="inlineStr">
        <is>
          <t>Megan Pineda</t>
        </is>
      </c>
      <c r="G192" s="5" t="n">
        <v>83200</v>
      </c>
      <c r="H192" s="5" t="n">
        <v>22297.6</v>
      </c>
      <c r="I192" s="5" t="n">
        <v>22297.6</v>
      </c>
      <c r="J192" s="5" t="n">
        <v>60186.88</v>
      </c>
      <c r="K192" s="5" t="n">
        <v>60186.88</v>
      </c>
      <c r="L192" s="5" t="n">
        <v>0</v>
      </c>
      <c r="M192" s="5" t="n">
        <v>78242.94</v>
      </c>
      <c r="N192" s="5" t="n">
        <v>-18056.06</v>
      </c>
      <c r="O192" s="6" t="n">
        <v>0.268</v>
      </c>
      <c r="P192" s="6" t="n">
        <v>1.3</v>
      </c>
    </row>
    <row r="193">
      <c r="A193" s="4" t="inlineStr">
        <is>
          <t>25-PC-37509</t>
        </is>
      </c>
      <c r="B193" s="4" t="inlineStr">
        <is>
          <t>On-Call: Wildrye Bridge Replacement Section 106 Consultation</t>
        </is>
      </c>
      <c r="C193" s="4" t="inlineStr">
        <is>
          <t>In Progress</t>
        </is>
      </c>
      <c r="D193" s="4" t="inlineStr">
        <is>
          <t>Time and material</t>
        </is>
      </c>
      <c r="E193" s="4" t="inlineStr">
        <is>
          <t>Piedmont</t>
        </is>
      </c>
      <c r="F193" s="4" t="inlineStr">
        <is>
          <t>Jody Chung</t>
        </is>
      </c>
      <c r="G193" s="5" t="n">
        <v>458200</v>
      </c>
      <c r="H193" s="5" t="n">
        <v>311576</v>
      </c>
      <c r="I193" s="5" t="n">
        <v>311576</v>
      </c>
      <c r="J193" s="5" t="n">
        <v>301449.78</v>
      </c>
      <c r="K193" s="5" t="n">
        <v>301449.78</v>
      </c>
      <c r="L193" s="5" t="n">
        <v>0</v>
      </c>
      <c r="M193" s="5" t="n">
        <v>240796.49</v>
      </c>
      <c r="N193" s="5" t="n">
        <v>60653.29000000004</v>
      </c>
      <c r="O193" s="6" t="n">
        <v>0.68</v>
      </c>
      <c r="P193" s="6" t="n">
        <v>0.7988</v>
      </c>
    </row>
    <row r="194">
      <c r="A194" s="4" t="inlineStr">
        <is>
          <t>25-PC-37522</t>
        </is>
      </c>
      <c r="B194" s="4" t="inlineStr">
        <is>
          <t>Sparrow Hill Canal Lining Built Environment Survey</t>
        </is>
      </c>
      <c r="C194" s="4" t="inlineStr">
        <is>
          <t>Lab/Curation</t>
        </is>
      </c>
      <c r="D194" s="4" t="inlineStr">
        <is>
          <t>Fixed fee</t>
        </is>
      </c>
      <c r="E194" s="4" t="inlineStr">
        <is>
          <t>Piedmont</t>
        </is>
      </c>
      <c r="F194" s="4" t="inlineStr">
        <is>
          <t>Jody Chung</t>
        </is>
      </c>
      <c r="G194" s="5" t="n">
        <v>21500</v>
      </c>
      <c r="H194" s="5" t="n">
        <v>21500</v>
      </c>
      <c r="I194" s="5" t="n">
        <v>20397.5</v>
      </c>
      <c r="J194" s="5" t="n">
        <v>15617.6</v>
      </c>
      <c r="K194" s="5" t="n">
        <v>15617.6</v>
      </c>
      <c r="L194" s="5" t="n">
        <v>0</v>
      </c>
      <c r="M194" s="5" t="n">
        <v>19499.41</v>
      </c>
      <c r="N194" s="5" t="n">
        <v>-3881.809999999999</v>
      </c>
      <c r="O194" s="6" t="n">
        <v>1</v>
      </c>
      <c r="P194" s="6" t="n">
        <v>1.2486</v>
      </c>
    </row>
    <row r="195">
      <c r="A195" s="4" t="inlineStr">
        <is>
          <t>25-PC-37732</t>
        </is>
      </c>
      <c r="B195" s="4" t="inlineStr">
        <is>
          <t>Hawk Point Housing Development Class III Survey</t>
        </is>
      </c>
      <c r="C195" s="4" t="inlineStr">
        <is>
          <t>In Progress</t>
        </is>
      </c>
      <c r="D195" s="4" t="inlineStr">
        <is>
          <t>Fixed fee</t>
        </is>
      </c>
      <c r="E195" s="4" t="inlineStr">
        <is>
          <t>Piedmont</t>
        </is>
      </c>
      <c r="F195" s="4" t="inlineStr">
        <is>
          <t>Megan Pineda</t>
        </is>
      </c>
      <c r="G195" s="5" t="n">
        <v>72900</v>
      </c>
      <c r="H195" s="5" t="n">
        <v>64100.97</v>
      </c>
      <c r="I195" s="5" t="n">
        <v>59413.97</v>
      </c>
      <c r="J195" s="5" t="n">
        <v>45824.94</v>
      </c>
      <c r="K195" s="5" t="n">
        <v>45824.94</v>
      </c>
      <c r="L195" s="5" t="n">
        <v>0</v>
      </c>
      <c r="M195" s="5" t="n">
        <v>40294.47</v>
      </c>
      <c r="N195" s="5" t="n">
        <v>5530.470000000001</v>
      </c>
      <c r="O195" s="6" t="n">
        <v>0.879</v>
      </c>
      <c r="P195" s="6" t="n">
        <v>0.8793</v>
      </c>
    </row>
    <row r="196">
      <c r="A196" s="4" t="inlineStr">
        <is>
          <t>25-PC-37786</t>
        </is>
      </c>
      <c r="B196" s="4" t="inlineStr">
        <is>
          <t>Fern Valley Wastewater Plant Paleontological Monitoring</t>
        </is>
      </c>
      <c r="C196" s="4" t="inlineStr">
        <is>
          <t>Final Reporting/Review</t>
        </is>
      </c>
      <c r="D196" s="4" t="inlineStr">
        <is>
          <t>Time and material</t>
        </is>
      </c>
      <c r="E196" s="4" t="inlineStr">
        <is>
          <t>Piedmont</t>
        </is>
      </c>
      <c r="F196" s="4" t="inlineStr">
        <is>
          <t>Maria Parrish</t>
        </is>
      </c>
      <c r="G196" s="5" t="n">
        <v>72200</v>
      </c>
      <c r="H196" s="5" t="n">
        <v>69466.7</v>
      </c>
      <c r="I196" s="5" t="n">
        <v>69466.7</v>
      </c>
      <c r="J196" s="5" t="n">
        <v>44893.96</v>
      </c>
      <c r="K196" s="5" t="n">
        <v>44893.96</v>
      </c>
      <c r="L196" s="5" t="n">
        <v>0</v>
      </c>
      <c r="M196" s="5" t="n">
        <v>57390.52</v>
      </c>
      <c r="N196" s="5" t="n">
        <v>-12496.56</v>
      </c>
      <c r="O196" s="6" t="n">
        <v>0.962</v>
      </c>
      <c r="P196" s="6" t="n">
        <v>1.2784</v>
      </c>
    </row>
    <row r="197">
      <c r="A197" s="4" t="inlineStr">
        <is>
          <t>25-PC-37881</t>
        </is>
      </c>
      <c r="B197" s="4" t="inlineStr">
        <is>
          <t>Phase II: Heron Marsh Mine Expansion Historic Resources Evaluation</t>
        </is>
      </c>
      <c r="C197" s="4" t="inlineStr">
        <is>
          <t>In Progress</t>
        </is>
      </c>
      <c r="D197" s="4" t="inlineStr">
        <is>
          <t>Fixed fee</t>
        </is>
      </c>
      <c r="E197" s="4" t="inlineStr">
        <is>
          <t>Piedmont</t>
        </is>
      </c>
      <c r="F197" s="4" t="inlineStr">
        <is>
          <t>Megan Pineda</t>
        </is>
      </c>
      <c r="G197" s="5" t="n">
        <v>7900</v>
      </c>
      <c r="H197" s="5" t="n">
        <v>7900</v>
      </c>
      <c r="I197" s="5" t="n">
        <v>7900</v>
      </c>
      <c r="J197" s="5" t="n">
        <v>6020.59</v>
      </c>
      <c r="K197" s="5" t="n">
        <v>6020.59</v>
      </c>
      <c r="L197" s="5" t="n">
        <v>0</v>
      </c>
      <c r="M197" s="5" t="n">
        <v>6629.3</v>
      </c>
      <c r="N197" s="5" t="n">
        <v>-608.71</v>
      </c>
      <c r="O197" s="6" t="n">
        <v>1</v>
      </c>
      <c r="P197" s="6" t="n">
        <v>1.1011</v>
      </c>
    </row>
    <row r="198">
      <c r="A198" s="4" t="inlineStr">
        <is>
          <t>25-PC-37975</t>
        </is>
      </c>
      <c r="B198" s="4" t="inlineStr">
        <is>
          <t>Hackberry Bend Battery Storage Environmental Review Support</t>
        </is>
      </c>
      <c r="C198" s="4" t="inlineStr">
        <is>
          <t>In Progress</t>
        </is>
      </c>
      <c r="D198" s="4" t="inlineStr">
        <is>
          <t>Fixed fee</t>
        </is>
      </c>
      <c r="E198" s="4" t="inlineStr">
        <is>
          <t>Prairie</t>
        </is>
      </c>
      <c r="F198" s="4" t="inlineStr">
        <is>
          <t>Sherry Lloyd</t>
        </is>
      </c>
      <c r="G198" s="5" t="n">
        <v>148100</v>
      </c>
      <c r="H198" s="5" t="n">
        <v>109890.2</v>
      </c>
      <c r="I198" s="5" t="n">
        <v>107447.04</v>
      </c>
      <c r="J198" s="5" t="n">
        <v>106809.72</v>
      </c>
      <c r="K198" s="5" t="n">
        <v>106809.72</v>
      </c>
      <c r="L198" s="5" t="n">
        <v>0</v>
      </c>
      <c r="M198" s="5" t="n">
        <v>79254.52</v>
      </c>
      <c r="N198" s="5" t="n">
        <v>27555.2</v>
      </c>
      <c r="O198" s="6" t="n">
        <v>0.742</v>
      </c>
      <c r="P198" s="6" t="n">
        <v>0.742</v>
      </c>
    </row>
    <row r="199">
      <c r="A199" s="4" t="inlineStr">
        <is>
          <t>25-PC-38042</t>
        </is>
      </c>
      <c r="B199" s="4" t="inlineStr">
        <is>
          <t>Oak Terrace School Campus GIS Mapping</t>
        </is>
      </c>
      <c r="C199" s="4" t="inlineStr">
        <is>
          <t>In Progress</t>
        </is>
      </c>
      <c r="D199" s="4" t="inlineStr">
        <is>
          <t>Fixed fee</t>
        </is>
      </c>
      <c r="E199" s="4" t="inlineStr">
        <is>
          <t>Prairie</t>
        </is>
      </c>
      <c r="F199" s="4" t="inlineStr">
        <is>
          <t>Sherry Lloyd</t>
        </is>
      </c>
      <c r="G199" s="5" t="n">
        <v>24300</v>
      </c>
      <c r="H199" s="5" t="n">
        <v>20144.7</v>
      </c>
      <c r="I199" s="5" t="n">
        <v>20144.7</v>
      </c>
      <c r="J199" s="5" t="n">
        <v>19082.79</v>
      </c>
      <c r="K199" s="5" t="n">
        <v>19082.79</v>
      </c>
      <c r="L199" s="5" t="n">
        <v>0</v>
      </c>
      <c r="M199" s="5" t="n">
        <v>15820.03</v>
      </c>
      <c r="N199" s="5" t="n">
        <v>3262.76</v>
      </c>
      <c r="O199" s="6" t="n">
        <v>0.829</v>
      </c>
      <c r="P199" s="6" t="n">
        <v>0.829</v>
      </c>
    </row>
    <row r="200">
      <c r="A200" s="4" t="inlineStr">
        <is>
          <t>25-PC-38180</t>
        </is>
      </c>
      <c r="B200" s="4" t="inlineStr">
        <is>
          <t>Task Order 22: Willow Springs Bridge Replacement Data Recovery</t>
        </is>
      </c>
      <c r="C200" s="4" t="inlineStr">
        <is>
          <t>In Progress</t>
        </is>
      </c>
      <c r="D200" s="4" t="inlineStr">
        <is>
          <t>Fixed fee</t>
        </is>
      </c>
      <c r="E200" s="4" t="inlineStr">
        <is>
          <t>Prairie</t>
        </is>
      </c>
      <c r="F200" s="4" t="inlineStr">
        <is>
          <t>Sherry Lloyd</t>
        </is>
      </c>
      <c r="G200" s="5" t="n">
        <v>25300</v>
      </c>
      <c r="H200" s="5" t="n">
        <v>20781.42</v>
      </c>
      <c r="I200" s="5" t="n">
        <v>19246.71</v>
      </c>
      <c r="J200" s="5" t="n">
        <v>16961.12</v>
      </c>
      <c r="K200" s="5" t="n">
        <v>16961.12</v>
      </c>
      <c r="L200" s="5" t="n">
        <v>0</v>
      </c>
      <c r="M200" s="5" t="n">
        <v>13931.44</v>
      </c>
      <c r="N200" s="5" t="n">
        <v>3029.679999999998</v>
      </c>
      <c r="O200" s="6" t="n">
        <v>0.821</v>
      </c>
      <c r="P200" s="6" t="n">
        <v>0.8214</v>
      </c>
    </row>
    <row r="201">
      <c r="A201" s="4" t="inlineStr">
        <is>
          <t>25-PC-38352</t>
        </is>
      </c>
      <c r="B201" s="4" t="inlineStr">
        <is>
          <t>Phase III: Willow Springs Mine Expansion Cultural Resources Monitoring</t>
        </is>
      </c>
      <c r="C201" s="4" t="inlineStr">
        <is>
          <t>In Progress</t>
        </is>
      </c>
      <c r="D201" s="4" t="inlineStr">
        <is>
          <t>Fixed fee</t>
        </is>
      </c>
      <c r="E201" s="4" t="inlineStr">
        <is>
          <t>Prairie</t>
        </is>
      </c>
      <c r="F201" s="4" t="inlineStr">
        <is>
          <t>Sherry Lloyd</t>
        </is>
      </c>
      <c r="G201" s="5" t="n">
        <v>136400</v>
      </c>
      <c r="H201" s="5" t="n">
        <v>99080.96000000001</v>
      </c>
      <c r="I201" s="5" t="n">
        <v>99080.96000000001</v>
      </c>
      <c r="J201" s="5" t="n">
        <v>86736.75999999999</v>
      </c>
      <c r="K201" s="5" t="n">
        <v>86736.75999999999</v>
      </c>
      <c r="L201" s="5" t="n">
        <v>0</v>
      </c>
      <c r="M201" s="5" t="n">
        <v>63001.3</v>
      </c>
      <c r="N201" s="5" t="n">
        <v>23735.45999999999</v>
      </c>
      <c r="O201" s="6" t="n">
        <v>0.726</v>
      </c>
      <c r="P201" s="6" t="n">
        <v>0.7264</v>
      </c>
    </row>
    <row r="202">
      <c r="A202" s="4" t="inlineStr">
        <is>
          <t>25-PC-38540</t>
        </is>
      </c>
      <c r="B202" s="4" t="inlineStr">
        <is>
          <t>Ember Valley Park Improvements - Class III Survey</t>
        </is>
      </c>
      <c r="C202" s="4" t="inlineStr">
        <is>
          <t>In Progress</t>
        </is>
      </c>
      <c r="D202" s="4" t="inlineStr">
        <is>
          <t>Time and material</t>
        </is>
      </c>
      <c r="E202" s="4" t="inlineStr">
        <is>
          <t>Red Rock</t>
        </is>
      </c>
      <c r="F202" s="4" t="inlineStr">
        <is>
          <t>Jeanette Chung</t>
        </is>
      </c>
      <c r="G202" s="5" t="n">
        <v>496400</v>
      </c>
      <c r="H202" s="5" t="n">
        <v>481730.55</v>
      </c>
      <c r="I202" s="5" t="n">
        <v>460087.32</v>
      </c>
      <c r="J202" s="5" t="n">
        <v>357705.84</v>
      </c>
      <c r="K202" s="5" t="n">
        <v>357705.84</v>
      </c>
      <c r="L202" s="5" t="n">
        <v>0</v>
      </c>
      <c r="M202" s="5" t="n">
        <v>311579.9</v>
      </c>
      <c r="N202" s="5" t="n">
        <v>46125.94</v>
      </c>
      <c r="O202" s="6" t="n">
        <v>0.97</v>
      </c>
      <c r="P202" s="6" t="n">
        <v>0.8711</v>
      </c>
    </row>
    <row r="203">
      <c r="A203" s="4" t="inlineStr">
        <is>
          <t>25-PC-38563</t>
        </is>
      </c>
      <c r="B203" s="4" t="inlineStr">
        <is>
          <t>Elk Meadow Highway Widening - Architectural History Survey</t>
        </is>
      </c>
      <c r="C203" s="4" t="inlineStr">
        <is>
          <t>In Progress</t>
        </is>
      </c>
      <c r="D203" s="4" t="inlineStr">
        <is>
          <t>Fixed fee</t>
        </is>
      </c>
      <c r="E203" s="4" t="inlineStr">
        <is>
          <t>Red Rock</t>
        </is>
      </c>
      <c r="F203" s="4" t="inlineStr">
        <is>
          <t>Lydia Cisneros</t>
        </is>
      </c>
      <c r="G203" s="5" t="n">
        <v>176400</v>
      </c>
      <c r="H203" s="5" t="n">
        <v>154297.08</v>
      </c>
      <c r="I203" s="5" t="n">
        <v>154297.08</v>
      </c>
      <c r="J203" s="5" t="n">
        <v>137697.84</v>
      </c>
      <c r="K203" s="5" t="n">
        <v>137697.84</v>
      </c>
      <c r="L203" s="5" t="n">
        <v>0</v>
      </c>
      <c r="M203" s="5" t="n">
        <v>120438.25</v>
      </c>
      <c r="N203" s="5" t="n">
        <v>17259.59</v>
      </c>
      <c r="O203" s="6" t="n">
        <v>0.875</v>
      </c>
      <c r="P203" s="6" t="n">
        <v>0.8747</v>
      </c>
    </row>
    <row r="204">
      <c r="A204" s="4" t="inlineStr">
        <is>
          <t>25-PC-38701</t>
        </is>
      </c>
      <c r="B204" s="4" t="inlineStr">
        <is>
          <t>Slate Ridge Curation</t>
        </is>
      </c>
      <c r="C204" s="4" t="inlineStr">
        <is>
          <t>In Progress</t>
        </is>
      </c>
      <c r="D204" s="4" t="inlineStr">
        <is>
          <t>Time and material</t>
        </is>
      </c>
      <c r="E204" s="4" t="inlineStr">
        <is>
          <t>Red Rock</t>
        </is>
      </c>
      <c r="F204" s="4" t="inlineStr">
        <is>
          <t>Javier Newman</t>
        </is>
      </c>
      <c r="G204" s="5" t="n">
        <v>156400</v>
      </c>
      <c r="H204" s="5" t="n">
        <v>109600.75</v>
      </c>
      <c r="I204" s="5" t="n">
        <v>102197.06</v>
      </c>
      <c r="J204" s="5" t="n">
        <v>98735.32000000001</v>
      </c>
      <c r="K204" s="5" t="n">
        <v>98735.32000000001</v>
      </c>
      <c r="L204" s="5" t="n">
        <v>0</v>
      </c>
      <c r="M204" s="5" t="n">
        <v>71024.19</v>
      </c>
      <c r="N204" s="5" t="n">
        <v>27711.13</v>
      </c>
      <c r="O204" s="6" t="n">
        <v>0.701</v>
      </c>
      <c r="P204" s="6" t="n">
        <v>0.7193000000000001</v>
      </c>
    </row>
    <row r="205">
      <c r="A205" s="4" t="inlineStr">
        <is>
          <t>25-PC-38754</t>
        </is>
      </c>
      <c r="B205" s="4" t="inlineStr">
        <is>
          <t>On-Call: Sparrow Hill Solar Section 106 Consultation</t>
        </is>
      </c>
      <c r="C205" s="4" t="inlineStr">
        <is>
          <t>In Progress</t>
        </is>
      </c>
      <c r="D205" s="4" t="inlineStr">
        <is>
          <t>Fixed fee</t>
        </is>
      </c>
      <c r="E205" s="4" t="inlineStr">
        <is>
          <t>Red Rock</t>
        </is>
      </c>
      <c r="F205" s="4" t="inlineStr">
        <is>
          <t>Javier Newman</t>
        </is>
      </c>
      <c r="G205" s="5" t="n">
        <v>63900</v>
      </c>
      <c r="H205" s="5" t="n">
        <v>63900</v>
      </c>
      <c r="I205" s="5" t="n">
        <v>60446.65</v>
      </c>
      <c r="J205" s="5" t="n">
        <v>41637.24</v>
      </c>
      <c r="K205" s="5" t="n">
        <v>41637.24</v>
      </c>
      <c r="L205" s="5" t="n">
        <v>0</v>
      </c>
      <c r="M205" s="5" t="n">
        <v>60770.39</v>
      </c>
      <c r="N205" s="5" t="n">
        <v>-19133.15</v>
      </c>
      <c r="O205" s="6" t="n">
        <v>1</v>
      </c>
      <c r="P205" s="6" t="n">
        <v>1.4595</v>
      </c>
    </row>
    <row r="206">
      <c r="A206" s="4" t="inlineStr">
        <is>
          <t>25-PC-38835</t>
        </is>
      </c>
      <c r="B206" s="4" t="inlineStr">
        <is>
          <t>Phase I: Windmill Flat Battery Storage Archaeological Testing</t>
        </is>
      </c>
      <c r="C206" s="4" t="inlineStr">
        <is>
          <t>Final Reporting/Review</t>
        </is>
      </c>
      <c r="D206" s="4" t="inlineStr">
        <is>
          <t>Fixed fee</t>
        </is>
      </c>
      <c r="E206" s="4" t="inlineStr">
        <is>
          <t>Red Rock</t>
        </is>
      </c>
      <c r="F206" s="4" t="inlineStr">
        <is>
          <t>Bruce Suarez</t>
        </is>
      </c>
      <c r="G206" s="5" t="n">
        <v>10400</v>
      </c>
      <c r="H206" s="5" t="n">
        <v>10400</v>
      </c>
      <c r="I206" s="5" t="n">
        <v>9781.639999999999</v>
      </c>
      <c r="J206" s="5" t="n">
        <v>5866.64</v>
      </c>
      <c r="K206" s="5" t="n">
        <v>5866.64</v>
      </c>
      <c r="L206" s="5" t="n">
        <v>0</v>
      </c>
      <c r="M206" s="5" t="n">
        <v>18017.52</v>
      </c>
      <c r="N206" s="5" t="n">
        <v>-12150.88</v>
      </c>
      <c r="O206" s="6" t="n">
        <v>1</v>
      </c>
      <c r="P206" s="6" t="n">
        <v>3.0712</v>
      </c>
    </row>
    <row r="207">
      <c r="A207" s="4" t="inlineStr">
        <is>
          <t>25-PC-38879</t>
        </is>
      </c>
      <c r="B207" s="4" t="inlineStr">
        <is>
          <t>Kestrel Butte Built Environment Survey</t>
        </is>
      </c>
      <c r="C207" s="4" t="inlineStr">
        <is>
          <t>In Progress</t>
        </is>
      </c>
      <c r="D207" s="4" t="inlineStr">
        <is>
          <t>Fixed fee</t>
        </is>
      </c>
      <c r="E207" s="4" t="inlineStr">
        <is>
          <t>Red Rock</t>
        </is>
      </c>
      <c r="F207" s="4" t="inlineStr">
        <is>
          <t>Marisa Odom</t>
        </is>
      </c>
      <c r="G207" s="5" t="n">
        <v>119700</v>
      </c>
      <c r="H207" s="5" t="n">
        <v>88482.24000000001</v>
      </c>
      <c r="I207" s="5" t="n">
        <v>88482.24000000001</v>
      </c>
      <c r="J207" s="5" t="n">
        <v>70323.75</v>
      </c>
      <c r="K207" s="5" t="n">
        <v>70323.75</v>
      </c>
      <c r="L207" s="5" t="n">
        <v>0</v>
      </c>
      <c r="M207" s="5" t="n">
        <v>51984.23</v>
      </c>
      <c r="N207" s="5" t="n">
        <v>18339.52</v>
      </c>
      <c r="O207" s="6" t="n">
        <v>0.739</v>
      </c>
      <c r="P207" s="6" t="n">
        <v>0.7392</v>
      </c>
    </row>
    <row r="208">
      <c r="A208" s="4" t="inlineStr">
        <is>
          <t>25-PC-39035</t>
        </is>
      </c>
      <c r="B208" s="4" t="inlineStr">
        <is>
          <t>Rushgrass Draw School Campus - Built Environment Survey</t>
        </is>
      </c>
      <c r="C208" s="4" t="inlineStr">
        <is>
          <t>In Progress</t>
        </is>
      </c>
      <c r="D208" s="4" t="inlineStr">
        <is>
          <t>Time and material</t>
        </is>
      </c>
      <c r="E208" s="4" t="inlineStr">
        <is>
          <t>Red Rock</t>
        </is>
      </c>
      <c r="F208" s="4" t="inlineStr">
        <is>
          <t>Tina Aguirre</t>
        </is>
      </c>
      <c r="G208" s="5" t="n">
        <v>244000</v>
      </c>
      <c r="H208" s="5" t="n">
        <v>201680</v>
      </c>
      <c r="I208" s="5" t="n">
        <v>201680</v>
      </c>
      <c r="J208" s="5" t="n">
        <v>174704</v>
      </c>
      <c r="K208" s="5" t="n">
        <v>174704</v>
      </c>
      <c r="L208" s="5" t="n">
        <v>0</v>
      </c>
      <c r="M208" s="5" t="n">
        <v>157468.07</v>
      </c>
      <c r="N208" s="5" t="n">
        <v>17235.92999999999</v>
      </c>
      <c r="O208" s="6" t="n">
        <v>0.827</v>
      </c>
      <c r="P208" s="6" t="n">
        <v>0.9013</v>
      </c>
    </row>
    <row r="209">
      <c r="A209" s="4" t="inlineStr">
        <is>
          <t>25-PC-39085</t>
        </is>
      </c>
      <c r="B209" s="4" t="inlineStr">
        <is>
          <t>Slate Ridge Environmental Review Support</t>
        </is>
      </c>
      <c r="C209" s="4" t="inlineStr">
        <is>
          <t>In Progress</t>
        </is>
      </c>
      <c r="D209" s="4" t="inlineStr">
        <is>
          <t>Fixed fee</t>
        </is>
      </c>
      <c r="E209" s="4" t="inlineStr">
        <is>
          <t>Red Rock</t>
        </is>
      </c>
      <c r="F209" s="4" t="inlineStr">
        <is>
          <t>Bruce Suarez</t>
        </is>
      </c>
      <c r="G209" s="5" t="n">
        <v>120700</v>
      </c>
      <c r="H209" s="5" t="n">
        <v>119806.82</v>
      </c>
      <c r="I209" s="5" t="n">
        <v>119806.82</v>
      </c>
      <c r="J209" s="5" t="n">
        <v>69209.38</v>
      </c>
      <c r="K209" s="5" t="n">
        <v>69209.38</v>
      </c>
      <c r="L209" s="5" t="n">
        <v>0</v>
      </c>
      <c r="M209" s="5" t="n">
        <v>68696.85000000001</v>
      </c>
      <c r="N209" s="5" t="n">
        <v>512.5299999999988</v>
      </c>
      <c r="O209" s="6" t="n">
        <v>0.993</v>
      </c>
      <c r="P209" s="6" t="n">
        <v>0.9926</v>
      </c>
    </row>
    <row r="210">
      <c r="A210" s="4" t="inlineStr">
        <is>
          <t>25-PC-39118</t>
        </is>
      </c>
      <c r="B210" s="4" t="inlineStr">
        <is>
          <t>Harbor View Harbor Dredging Cultural Resources Monitoring</t>
        </is>
      </c>
      <c r="C210" s="4" t="inlineStr">
        <is>
          <t>In Progress</t>
        </is>
      </c>
      <c r="D210" s="4" t="inlineStr">
        <is>
          <t>Fixed fee</t>
        </is>
      </c>
      <c r="E210" s="4" t="inlineStr">
        <is>
          <t>Red Rock</t>
        </is>
      </c>
      <c r="F210" s="4" t="inlineStr">
        <is>
          <t>Shelia Horne</t>
        </is>
      </c>
      <c r="G210" s="5" t="n">
        <v>90300</v>
      </c>
      <c r="H210" s="5" t="n">
        <v>67986.87</v>
      </c>
      <c r="I210" s="5" t="n">
        <v>62928.94</v>
      </c>
      <c r="J210" s="5" t="n">
        <v>58198.35</v>
      </c>
      <c r="K210" s="5" t="n">
        <v>58198.35</v>
      </c>
      <c r="L210" s="5" t="n">
        <v>0</v>
      </c>
      <c r="M210" s="5" t="n">
        <v>43819.98</v>
      </c>
      <c r="N210" s="5" t="n">
        <v>14378.37</v>
      </c>
      <c r="O210" s="6" t="n">
        <v>0.753</v>
      </c>
      <c r="P210" s="6" t="n">
        <v>0.7529</v>
      </c>
    </row>
    <row r="211">
      <c r="A211" s="4" t="inlineStr">
        <is>
          <t>25-PC-39358</t>
        </is>
      </c>
      <c r="B211" s="4" t="inlineStr">
        <is>
          <t>Task Order 1: Hawk Point Wastewater Plant Archaeological Testing</t>
        </is>
      </c>
      <c r="C211" s="4" t="inlineStr">
        <is>
          <t>Final Reporting/Review</t>
        </is>
      </c>
      <c r="D211" s="4" t="inlineStr">
        <is>
          <t>Time and material</t>
        </is>
      </c>
      <c r="E211" s="4" t="inlineStr">
        <is>
          <t>Red Rock</t>
        </is>
      </c>
      <c r="F211" s="4" t="inlineStr">
        <is>
          <t>Tina Aguirre</t>
        </is>
      </c>
      <c r="G211" s="5" t="n">
        <v>55900</v>
      </c>
      <c r="H211" s="5" t="n">
        <v>55900</v>
      </c>
      <c r="I211" s="5" t="n">
        <v>54034.56</v>
      </c>
      <c r="J211" s="5" t="n">
        <v>39633.1</v>
      </c>
      <c r="K211" s="5" t="n">
        <v>39633.1</v>
      </c>
      <c r="L211" s="5" t="n">
        <v>0</v>
      </c>
      <c r="M211" s="5" t="n">
        <v>38428.92</v>
      </c>
      <c r="N211" s="5" t="n">
        <v>1204.18</v>
      </c>
      <c r="O211" s="6" t="n">
        <v>1</v>
      </c>
      <c r="P211" s="6" t="n">
        <v>0.9696</v>
      </c>
    </row>
    <row r="212">
      <c r="A212" s="4" t="inlineStr">
        <is>
          <t>25-PC-39424</t>
        </is>
      </c>
      <c r="B212" s="4" t="inlineStr">
        <is>
          <t>Tansy Flat Cultural Resources Assessment</t>
        </is>
      </c>
      <c r="C212" s="4" t="inlineStr">
        <is>
          <t>In Progress</t>
        </is>
      </c>
      <c r="D212" s="4" t="inlineStr">
        <is>
          <t>Fixed fee</t>
        </is>
      </c>
      <c r="E212" s="4" t="inlineStr">
        <is>
          <t>Red Rock</t>
        </is>
      </c>
      <c r="F212" s="4" t="inlineStr">
        <is>
          <t>Shelia Horne</t>
        </is>
      </c>
      <c r="G212" s="5" t="n">
        <v>19700</v>
      </c>
      <c r="H212" s="5" t="n">
        <v>19700</v>
      </c>
      <c r="I212" s="5" t="n">
        <v>17614.13</v>
      </c>
      <c r="J212" s="5" t="n">
        <v>13882.59</v>
      </c>
      <c r="K212" s="5" t="n">
        <v>13882.59</v>
      </c>
      <c r="L212" s="5" t="n">
        <v>0</v>
      </c>
      <c r="M212" s="5" t="n">
        <v>16267.84</v>
      </c>
      <c r="N212" s="5" t="n">
        <v>-2385.25</v>
      </c>
      <c r="O212" s="6" t="n">
        <v>1</v>
      </c>
      <c r="P212" s="6" t="n">
        <v>1.1718</v>
      </c>
    </row>
    <row r="213">
      <c r="A213" s="4" t="inlineStr">
        <is>
          <t>25-PC-39554</t>
        </is>
      </c>
      <c r="B213" s="4" t="inlineStr">
        <is>
          <t>Thistle Down Archaeological Testing</t>
        </is>
      </c>
      <c r="C213" s="4" t="inlineStr">
        <is>
          <t>In Progress</t>
        </is>
      </c>
      <c r="D213" s="4" t="inlineStr">
        <is>
          <t>Fixed fee</t>
        </is>
      </c>
      <c r="E213" s="4" t="inlineStr">
        <is>
          <t>Red Rock</t>
        </is>
      </c>
      <c r="F213" s="4" t="inlineStr">
        <is>
          <t>Tina Aguirre</t>
        </is>
      </c>
      <c r="G213" s="5" t="n">
        <v>86700</v>
      </c>
      <c r="H213" s="5" t="n">
        <v>75628.41</v>
      </c>
      <c r="I213" s="5" t="n">
        <v>63747.46</v>
      </c>
      <c r="J213" s="5" t="n">
        <v>63594.45</v>
      </c>
      <c r="K213" s="5" t="n">
        <v>63594.45</v>
      </c>
      <c r="L213" s="5" t="n">
        <v>0</v>
      </c>
      <c r="M213" s="5" t="n">
        <v>55476.01</v>
      </c>
      <c r="N213" s="5" t="n">
        <v>8118.439999999995</v>
      </c>
      <c r="O213" s="6" t="n">
        <v>0.872</v>
      </c>
      <c r="P213" s="6" t="n">
        <v>0.8723</v>
      </c>
    </row>
    <row r="214">
      <c r="A214" s="4" t="inlineStr">
        <is>
          <t>25-PC-39765</t>
        </is>
      </c>
      <c r="B214" s="4" t="inlineStr">
        <is>
          <t>Phase II: Windmill Flat Wind Farm Built Environment Survey</t>
        </is>
      </c>
      <c r="C214" s="4" t="inlineStr">
        <is>
          <t>In Progress</t>
        </is>
      </c>
      <c r="D214" s="4" t="inlineStr">
        <is>
          <t>Time and material</t>
        </is>
      </c>
      <c r="E214" s="4" t="inlineStr">
        <is>
          <t>Red Rock</t>
        </is>
      </c>
      <c r="F214" s="4" t="inlineStr">
        <is>
          <t>Javier Newman</t>
        </is>
      </c>
      <c r="G214" s="5" t="n">
        <v>51000</v>
      </c>
      <c r="H214" s="5" t="n">
        <v>51000</v>
      </c>
      <c r="I214" s="5" t="n">
        <v>51000</v>
      </c>
      <c r="J214" s="5" t="n">
        <v>36551.7</v>
      </c>
      <c r="K214" s="5" t="n">
        <v>36551.7</v>
      </c>
      <c r="L214" s="5" t="n">
        <v>0</v>
      </c>
      <c r="M214" s="5" t="n">
        <v>75197.03999999999</v>
      </c>
      <c r="N214" s="5" t="n">
        <v>-38645.34</v>
      </c>
      <c r="O214" s="6" t="n">
        <v>1</v>
      </c>
      <c r="P214" s="6" t="n">
        <v>2.0573</v>
      </c>
    </row>
    <row r="215">
      <c r="A215" s="4" t="inlineStr">
        <is>
          <t>25-PC-40383</t>
        </is>
      </c>
      <c r="B215" s="4" t="inlineStr">
        <is>
          <t>North Fork Archaeological Testing</t>
        </is>
      </c>
      <c r="C215" s="4" t="inlineStr">
        <is>
          <t>In Progress</t>
        </is>
      </c>
      <c r="D215" s="4" t="inlineStr">
        <is>
          <t>Fixed fee</t>
        </is>
      </c>
      <c r="E215" s="4" t="inlineStr">
        <is>
          <t>Sierra</t>
        </is>
      </c>
      <c r="F215" s="4" t="inlineStr">
        <is>
          <t>Donna Herring</t>
        </is>
      </c>
      <c r="G215" s="5" t="n">
        <v>193200</v>
      </c>
      <c r="H215" s="5" t="n">
        <v>161148.12</v>
      </c>
      <c r="I215" s="5" t="n">
        <v>161148.12</v>
      </c>
      <c r="J215" s="5" t="n">
        <v>144185.16</v>
      </c>
      <c r="K215" s="5" t="n">
        <v>144185.16</v>
      </c>
      <c r="L215" s="5" t="n">
        <v>0</v>
      </c>
      <c r="M215" s="5" t="n">
        <v>120262.61</v>
      </c>
      <c r="N215" s="5" t="n">
        <v>23922.55</v>
      </c>
      <c r="O215" s="6" t="n">
        <v>0.834</v>
      </c>
      <c r="P215" s="6" t="n">
        <v>0.8341</v>
      </c>
    </row>
    <row r="216">
      <c r="A216" s="4" t="inlineStr">
        <is>
          <t>25-PC-40503</t>
        </is>
      </c>
      <c r="B216" s="4" t="inlineStr">
        <is>
          <t>Copper Flats Phase I Survey</t>
        </is>
      </c>
      <c r="C216" s="4" t="inlineStr">
        <is>
          <t>Lab/Curation</t>
        </is>
      </c>
      <c r="D216" s="4" t="inlineStr">
        <is>
          <t>Time and material</t>
        </is>
      </c>
      <c r="E216" s="4" t="inlineStr">
        <is>
          <t>Sierra</t>
        </is>
      </c>
      <c r="F216" s="4" t="inlineStr">
        <is>
          <t>Benjamin Mathis</t>
        </is>
      </c>
      <c r="G216" s="5" t="n">
        <v>43400</v>
      </c>
      <c r="H216" s="5" t="n">
        <v>43400</v>
      </c>
      <c r="I216" s="5" t="n">
        <v>43400</v>
      </c>
      <c r="J216" s="5" t="n">
        <v>30119.6</v>
      </c>
      <c r="K216" s="5" t="n">
        <v>30119.6</v>
      </c>
      <c r="L216" s="5" t="n">
        <v>0</v>
      </c>
      <c r="M216" s="5" t="n">
        <v>42364.23</v>
      </c>
      <c r="N216" s="5" t="n">
        <v>-12244.63</v>
      </c>
      <c r="O216" s="6" t="n">
        <v>1</v>
      </c>
      <c r="P216" s="6" t="n">
        <v>1.4065</v>
      </c>
    </row>
    <row r="217">
      <c r="A217" s="4" t="inlineStr">
        <is>
          <t>25-PC-40523</t>
        </is>
      </c>
      <c r="B217" s="4" t="inlineStr">
        <is>
          <t>On-Call: Oak Terrace Reservoir Section 106 Consultation</t>
        </is>
      </c>
      <c r="C217" s="4" t="inlineStr">
        <is>
          <t>In Progress</t>
        </is>
      </c>
      <c r="D217" s="4" t="inlineStr">
        <is>
          <t>Time and material</t>
        </is>
      </c>
      <c r="E217" s="4" t="inlineStr">
        <is>
          <t>Sierra</t>
        </is>
      </c>
      <c r="F217" s="4" t="inlineStr">
        <is>
          <t>Donna Herring</t>
        </is>
      </c>
      <c r="G217" s="5" t="n">
        <v>71000</v>
      </c>
      <c r="H217" s="5" t="n">
        <v>71000</v>
      </c>
      <c r="I217" s="5" t="n">
        <v>67104.25</v>
      </c>
      <c r="J217" s="5" t="n">
        <v>49579.3</v>
      </c>
      <c r="K217" s="5" t="n">
        <v>49579.3</v>
      </c>
      <c r="L217" s="5" t="n">
        <v>0</v>
      </c>
      <c r="M217" s="5" t="n">
        <v>76399.60000000001</v>
      </c>
      <c r="N217" s="5" t="n">
        <v>-26820.3</v>
      </c>
      <c r="O217" s="6" t="n">
        <v>1</v>
      </c>
      <c r="P217" s="6" t="n">
        <v>1.541</v>
      </c>
    </row>
    <row r="218">
      <c r="A218" s="4" t="inlineStr">
        <is>
          <t>25-PC-40677</t>
        </is>
      </c>
      <c r="B218" s="4" t="inlineStr">
        <is>
          <t>Quail Run Paleontological Monitoring</t>
        </is>
      </c>
      <c r="C218" s="4" t="inlineStr">
        <is>
          <t>Transferred Entity</t>
        </is>
      </c>
      <c r="D218" s="4" t="inlineStr">
        <is>
          <t>Time and material</t>
        </is>
      </c>
      <c r="E218" s="4" t="inlineStr">
        <is>
          <t>Sierra South</t>
        </is>
      </c>
      <c r="F218" s="4" t="inlineStr">
        <is>
          <t>Louis Huff</t>
        </is>
      </c>
      <c r="G218" s="5" t="n">
        <v>225000</v>
      </c>
      <c r="H218" s="5" t="n">
        <v>192903.25</v>
      </c>
      <c r="I218" s="5" t="n">
        <v>192903.25</v>
      </c>
      <c r="J218" s="5" t="n">
        <v>157612.5</v>
      </c>
      <c r="K218" s="5" t="n">
        <v>157612.5</v>
      </c>
      <c r="L218" s="5" t="n">
        <v>0</v>
      </c>
      <c r="M218" s="5" t="n">
        <v>153698.04</v>
      </c>
      <c r="N218" s="5" t="n">
        <v>3914.459999999992</v>
      </c>
      <c r="O218" s="6" t="n">
        <v>0.857</v>
      </c>
      <c r="P218" s="6" t="n">
        <v>0.9752</v>
      </c>
    </row>
    <row r="219">
      <c r="A219" s="4" t="inlineStr">
        <is>
          <t>25-PC-40810</t>
        </is>
      </c>
      <c r="B219" s="4" t="inlineStr">
        <is>
          <t>Goldfinch Mine Expansion Archaeological Testing</t>
        </is>
      </c>
      <c r="C219" s="4" t="inlineStr">
        <is>
          <t>Transferred Entity</t>
        </is>
      </c>
      <c r="D219" s="4" t="inlineStr">
        <is>
          <t>Fixed fee</t>
        </is>
      </c>
      <c r="E219" s="4" t="inlineStr">
        <is>
          <t>Coastal Bend</t>
        </is>
      </c>
      <c r="F219" s="4" t="inlineStr">
        <is>
          <t>Duane Ballard</t>
        </is>
      </c>
      <c r="G219" s="5" t="n">
        <v>50100</v>
      </c>
      <c r="H219" s="5" t="n">
        <v>50100</v>
      </c>
      <c r="I219" s="5" t="n">
        <v>47994.45</v>
      </c>
      <c r="J219" s="5" t="n">
        <v>34844.55</v>
      </c>
      <c r="K219" s="5" t="n">
        <v>34844.55</v>
      </c>
      <c r="L219" s="5" t="n">
        <v>0</v>
      </c>
      <c r="M219" s="5" t="n">
        <v>37556.22</v>
      </c>
      <c r="N219" s="5" t="n">
        <v>-2711.669999999998</v>
      </c>
      <c r="O219" s="6" t="n">
        <v>1</v>
      </c>
      <c r="P219" s="6" t="n">
        <v>1.0778</v>
      </c>
    </row>
    <row r="220">
      <c r="A220" s="4" t="inlineStr">
        <is>
          <t>25-PC-40847</t>
        </is>
      </c>
      <c r="B220" s="4" t="inlineStr">
        <is>
          <t>Quail Run Harbor Dredging - Built Environment Survey</t>
        </is>
      </c>
      <c r="C220" s="4" t="inlineStr">
        <is>
          <t>Final Reporting/Review</t>
        </is>
      </c>
      <c r="D220" s="4" t="inlineStr">
        <is>
          <t>Fixed fee</t>
        </is>
      </c>
      <c r="E220" s="4" t="inlineStr">
        <is>
          <t>Coastal Bend</t>
        </is>
      </c>
      <c r="F220" s="4" t="inlineStr">
        <is>
          <t>Jared Choi</t>
        </is>
      </c>
      <c r="G220" s="5" t="n">
        <v>46800</v>
      </c>
      <c r="H220" s="5" t="n">
        <v>46800</v>
      </c>
      <c r="I220" s="5" t="n">
        <v>46800</v>
      </c>
      <c r="J220" s="5" t="n">
        <v>34243.56</v>
      </c>
      <c r="K220" s="5" t="n">
        <v>34243.56</v>
      </c>
      <c r="L220" s="5" t="n">
        <v>0</v>
      </c>
      <c r="M220" s="5" t="n">
        <v>37494.89</v>
      </c>
      <c r="N220" s="5" t="n">
        <v>-3251.330000000002</v>
      </c>
      <c r="O220" s="6" t="n">
        <v>1</v>
      </c>
      <c r="P220" s="6" t="n">
        <v>1.0949</v>
      </c>
    </row>
    <row r="221">
      <c r="A221" s="4" t="inlineStr">
        <is>
          <t>25-PC-41187</t>
        </is>
      </c>
      <c r="B221" s="4" t="inlineStr">
        <is>
          <t>Hackberry Bend Trail GIS Mapping</t>
        </is>
      </c>
      <c r="C221" s="4" t="inlineStr">
        <is>
          <t>In Progress</t>
        </is>
      </c>
      <c r="D221" s="4" t="inlineStr">
        <is>
          <t>Fixed fee</t>
        </is>
      </c>
      <c r="E221" s="4" t="inlineStr">
        <is>
          <t>Coastal Bend</t>
        </is>
      </c>
      <c r="F221" s="4" t="inlineStr">
        <is>
          <t>Diane Daniels</t>
        </is>
      </c>
      <c r="G221" s="5" t="n">
        <v>98900</v>
      </c>
      <c r="H221" s="5" t="n">
        <v>75510.14999999999</v>
      </c>
      <c r="I221" s="5" t="n">
        <v>72782.09</v>
      </c>
      <c r="J221" s="5" t="n">
        <v>55621.36</v>
      </c>
      <c r="K221" s="5" t="n">
        <v>55621.36</v>
      </c>
      <c r="L221" s="5" t="n">
        <v>0</v>
      </c>
      <c r="M221" s="5" t="n">
        <v>42469.63</v>
      </c>
      <c r="N221" s="5" t="n">
        <v>13151.73</v>
      </c>
      <c r="O221" s="6" t="n">
        <v>0.763</v>
      </c>
      <c r="P221" s="6" t="n">
        <v>0.7635</v>
      </c>
    </row>
    <row r="222">
      <c r="A222" s="4" t="inlineStr">
        <is>
          <t>25-PC-41265</t>
        </is>
      </c>
      <c r="B222" s="4" t="inlineStr">
        <is>
          <t>Larkspur Class III Survey</t>
        </is>
      </c>
      <c r="C222" s="4" t="inlineStr">
        <is>
          <t>Cost Tracking on Closed Project</t>
        </is>
      </c>
      <c r="D222" s="4" t="inlineStr">
        <is>
          <t>Fixed fee</t>
        </is>
      </c>
      <c r="E222" s="4" t="inlineStr">
        <is>
          <t>Coastal Bend</t>
        </is>
      </c>
      <c r="F222" s="4" t="inlineStr">
        <is>
          <t>Diane Daniels</t>
        </is>
      </c>
      <c r="G222" s="5" t="n">
        <v>89800</v>
      </c>
      <c r="H222" s="5" t="n">
        <v>85318.98</v>
      </c>
      <c r="I222" s="5" t="n">
        <v>85318.98</v>
      </c>
      <c r="J222" s="5" t="n">
        <v>71911.84</v>
      </c>
      <c r="K222" s="5" t="n">
        <v>71911.84</v>
      </c>
      <c r="L222" s="5" t="n">
        <v>0</v>
      </c>
      <c r="M222" s="5" t="n">
        <v>68323.14</v>
      </c>
      <c r="N222" s="5" t="n">
        <v>3588.699999999997</v>
      </c>
      <c r="O222" s="6" t="n">
        <v>0.95</v>
      </c>
      <c r="P222" s="6" t="n">
        <v>0.9500999999999999</v>
      </c>
    </row>
    <row r="223">
      <c r="A223" s="4" t="inlineStr">
        <is>
          <t>25-PC-41341</t>
        </is>
      </c>
      <c r="B223" s="4" t="inlineStr">
        <is>
          <t>Phase II: Coyote Springs Highway Widening Curation</t>
        </is>
      </c>
      <c r="C223" s="4" t="inlineStr">
        <is>
          <t>In Progress</t>
        </is>
      </c>
      <c r="D223" s="4" t="inlineStr">
        <is>
          <t>Fixed fee</t>
        </is>
      </c>
      <c r="E223" s="4" t="inlineStr">
        <is>
          <t>Coastal Bend</t>
        </is>
      </c>
      <c r="F223" s="4" t="inlineStr">
        <is>
          <t>Diane Daniels</t>
        </is>
      </c>
      <c r="G223" s="5" t="n">
        <v>167900</v>
      </c>
      <c r="H223" s="5" t="n">
        <v>133782.72</v>
      </c>
      <c r="I223" s="5" t="n">
        <v>130782.09</v>
      </c>
      <c r="J223" s="5" t="n">
        <v>131616.81</v>
      </c>
      <c r="K223" s="5" t="n">
        <v>131616.81</v>
      </c>
      <c r="L223" s="5" t="n">
        <v>0</v>
      </c>
      <c r="M223" s="5" t="n">
        <v>104866.5</v>
      </c>
      <c r="N223" s="5" t="n">
        <v>26750.31</v>
      </c>
      <c r="O223" s="6" t="n">
        <v>0.797</v>
      </c>
      <c r="P223" s="6" t="n">
        <v>0.7968</v>
      </c>
    </row>
    <row r="224">
      <c r="A224" s="4" t="inlineStr">
        <is>
          <t>25-PC-41385</t>
        </is>
      </c>
      <c r="B224" s="4" t="inlineStr">
        <is>
          <t>Tamarack Levee Repair - Historic Resources Evaluation</t>
        </is>
      </c>
      <c r="C224" s="4" t="inlineStr">
        <is>
          <t>In Progress</t>
        </is>
      </c>
      <c r="D224" s="4" t="inlineStr">
        <is>
          <t>Fixed fee</t>
        </is>
      </c>
      <c r="E224" s="4" t="inlineStr">
        <is>
          <t>Coastal Bend</t>
        </is>
      </c>
      <c r="F224" s="4" t="inlineStr">
        <is>
          <t>Diane Daniels</t>
        </is>
      </c>
      <c r="G224" s="5" t="n">
        <v>179800</v>
      </c>
      <c r="H224" s="5" t="n">
        <v>179800</v>
      </c>
      <c r="I224" s="5" t="n">
        <v>170811.36</v>
      </c>
      <c r="J224" s="5" t="n">
        <v>119171.44</v>
      </c>
      <c r="K224" s="5" t="n">
        <v>119171.44</v>
      </c>
      <c r="L224" s="5" t="n">
        <v>0</v>
      </c>
      <c r="M224" s="5" t="n">
        <v>171055.95</v>
      </c>
      <c r="N224" s="5" t="n">
        <v>-51884.51000000001</v>
      </c>
      <c r="O224" s="6" t="n">
        <v>1</v>
      </c>
      <c r="P224" s="6" t="n">
        <v>1.4354</v>
      </c>
    </row>
    <row r="225">
      <c r="A225" s="4" t="inlineStr">
        <is>
          <t>25-PC-41500</t>
        </is>
      </c>
      <c r="B225" s="4" t="inlineStr">
        <is>
          <t>Task Order 24: Elk Meadow Mixed-Use Development Historic Resources Evaluation</t>
        </is>
      </c>
      <c r="C225" s="4" t="inlineStr">
        <is>
          <t>In Progress</t>
        </is>
      </c>
      <c r="D225" s="4" t="inlineStr">
        <is>
          <t>Time and material</t>
        </is>
      </c>
      <c r="E225" s="4" t="inlineStr">
        <is>
          <t>Coastal Bend</t>
        </is>
      </c>
      <c r="F225" s="4" t="inlineStr">
        <is>
          <t>Jared Choi</t>
        </is>
      </c>
      <c r="G225" s="5" t="n">
        <v>130200</v>
      </c>
      <c r="H225" s="5" t="n">
        <v>121022.45</v>
      </c>
      <c r="I225" s="5" t="n">
        <v>121022.45</v>
      </c>
      <c r="J225" s="5" t="n">
        <v>94156.73</v>
      </c>
      <c r="K225" s="5" t="n">
        <v>81265.42</v>
      </c>
      <c r="L225" s="5" t="n">
        <v>12891.31</v>
      </c>
      <c r="M225" s="5" t="n">
        <v>105548.13</v>
      </c>
      <c r="N225" s="5" t="n">
        <v>-11391.40000000001</v>
      </c>
      <c r="O225" s="6" t="n">
        <v>0.93</v>
      </c>
      <c r="P225" s="6" t="n">
        <v>1.121</v>
      </c>
    </row>
    <row r="226">
      <c r="A226" s="4" t="inlineStr">
        <is>
          <t>25-PC-41635</t>
        </is>
      </c>
      <c r="B226" s="4" t="inlineStr">
        <is>
          <t>Plover Cove Rail Siding GIS Mapping</t>
        </is>
      </c>
      <c r="C226" s="4" t="inlineStr">
        <is>
          <t>In Progress</t>
        </is>
      </c>
      <c r="D226" s="4" t="inlineStr">
        <is>
          <t>Time and material</t>
        </is>
      </c>
      <c r="E226" s="4" t="inlineStr">
        <is>
          <t>Coastal Bend</t>
        </is>
      </c>
      <c r="F226" s="4" t="inlineStr">
        <is>
          <t>Jared Choi</t>
        </is>
      </c>
      <c r="G226" s="5" t="n">
        <v>412300</v>
      </c>
      <c r="H226" s="5" t="n">
        <v>300806.95</v>
      </c>
      <c r="I226" s="5" t="n">
        <v>290386.6</v>
      </c>
      <c r="J226" s="5" t="n">
        <v>281889.51</v>
      </c>
      <c r="K226" s="5" t="n">
        <v>281889.51</v>
      </c>
      <c r="L226" s="5" t="n">
        <v>0</v>
      </c>
      <c r="M226" s="5" t="n">
        <v>224531.7</v>
      </c>
      <c r="N226" s="5" t="n">
        <v>57357.81</v>
      </c>
      <c r="O226" s="6" t="n">
        <v>0.73</v>
      </c>
      <c r="P226" s="6" t="n">
        <v>0.7965</v>
      </c>
    </row>
    <row r="227">
      <c r="A227" s="4" t="inlineStr">
        <is>
          <t>25-PC-41722</t>
        </is>
      </c>
      <c r="B227" s="4" t="inlineStr">
        <is>
          <t>Willow Springs Canal Lining Built Environment Survey</t>
        </is>
      </c>
      <c r="C227" s="4" t="inlineStr">
        <is>
          <t>In Progress</t>
        </is>
      </c>
      <c r="D227" s="4" t="inlineStr">
        <is>
          <t>Time and material</t>
        </is>
      </c>
      <c r="E227" s="4" t="inlineStr">
        <is>
          <t>Built Environment</t>
        </is>
      </c>
      <c r="F227" s="4" t="inlineStr">
        <is>
          <t>Jenny Wilkinson</t>
        </is>
      </c>
      <c r="G227" s="5" t="n">
        <v>152100</v>
      </c>
      <c r="H227" s="5" t="n">
        <v>112187.4</v>
      </c>
      <c r="I227" s="5" t="n">
        <v>112187.4</v>
      </c>
      <c r="J227" s="5" t="n">
        <v>108599.4</v>
      </c>
      <c r="K227" s="5" t="n">
        <v>108599.4</v>
      </c>
      <c r="L227" s="5" t="n">
        <v>0</v>
      </c>
      <c r="M227" s="5" t="n">
        <v>90984.66</v>
      </c>
      <c r="N227" s="5" t="n">
        <v>17614.73999999999</v>
      </c>
      <c r="O227" s="6" t="n">
        <v>0.738</v>
      </c>
      <c r="P227" s="6" t="n">
        <v>0.8378</v>
      </c>
    </row>
    <row r="228">
      <c r="A228" s="4" t="inlineStr">
        <is>
          <t>25-PC-41854</t>
        </is>
      </c>
      <c r="B228" s="4" t="inlineStr">
        <is>
          <t>Hackberry Bend Rail Siding - Section 106 Consultation</t>
        </is>
      </c>
      <c r="C228" s="4" t="inlineStr">
        <is>
          <t>In Progress</t>
        </is>
      </c>
      <c r="D228" s="4" t="inlineStr">
        <is>
          <t>Time and material</t>
        </is>
      </c>
      <c r="E228" s="4" t="inlineStr">
        <is>
          <t>Built Environment</t>
        </is>
      </c>
      <c r="F228" s="4" t="inlineStr">
        <is>
          <t>Rickey Salas</t>
        </is>
      </c>
      <c r="G228" s="5" t="n">
        <v>39700</v>
      </c>
      <c r="H228" s="5" t="n">
        <v>39700</v>
      </c>
      <c r="I228" s="5" t="n">
        <v>38010.35</v>
      </c>
      <c r="J228" s="5" t="n">
        <v>25920.13</v>
      </c>
      <c r="K228" s="5" t="n">
        <v>25920.13</v>
      </c>
      <c r="L228" s="5" t="n">
        <v>0</v>
      </c>
      <c r="M228" s="5" t="n">
        <v>29882.88</v>
      </c>
      <c r="N228" s="5" t="n">
        <v>-3962.75</v>
      </c>
      <c r="O228" s="6" t="n">
        <v>1</v>
      </c>
      <c r="P228" s="6" t="n">
        <v>1.1529</v>
      </c>
    </row>
    <row r="229">
      <c r="A229" s="4" t="inlineStr">
        <is>
          <t>25-PC-42227</t>
        </is>
      </c>
      <c r="B229" s="4" t="inlineStr">
        <is>
          <t>Task Order 22: Lantern Bay School Campus Data Recovery</t>
        </is>
      </c>
      <c r="C229" s="4" t="inlineStr">
        <is>
          <t>Cost Tracking on Closed Project</t>
        </is>
      </c>
      <c r="D229" s="4" t="inlineStr">
        <is>
          <t>Time and material</t>
        </is>
      </c>
      <c r="E229" s="4" t="inlineStr">
        <is>
          <t>Built Environment</t>
        </is>
      </c>
      <c r="F229" s="4" t="inlineStr">
        <is>
          <t>Kathleen Cabrera</t>
        </is>
      </c>
      <c r="G229" s="5" t="n">
        <v>17900</v>
      </c>
      <c r="H229" s="5" t="n">
        <v>161.1</v>
      </c>
      <c r="I229" s="5" t="n">
        <v>161.1</v>
      </c>
      <c r="J229" s="5" t="n">
        <v>12066.39</v>
      </c>
      <c r="K229" s="5" t="n">
        <v>12066.39</v>
      </c>
      <c r="L229" s="5" t="n">
        <v>0</v>
      </c>
      <c r="M229" s="5" t="n">
        <v>14332.43</v>
      </c>
      <c r="N229" s="5" t="n">
        <v>-2266.040000000001</v>
      </c>
      <c r="O229" s="6" t="n">
        <v>0.008999999999999999</v>
      </c>
      <c r="P229" s="6" t="n">
        <v>1.1878</v>
      </c>
    </row>
    <row r="230">
      <c r="A230" s="4" t="inlineStr">
        <is>
          <t>25-PC-42315</t>
        </is>
      </c>
      <c r="B230" s="4" t="inlineStr">
        <is>
          <t>Sage Flat Bridge Replacement Class III Survey</t>
        </is>
      </c>
      <c r="C230" s="4" t="inlineStr">
        <is>
          <t>In Progress</t>
        </is>
      </c>
      <c r="D230" s="4" t="inlineStr">
        <is>
          <t>Fixed fee</t>
        </is>
      </c>
      <c r="E230" s="4" t="inlineStr">
        <is>
          <t>Paleontology</t>
        </is>
      </c>
      <c r="F230" s="4" t="inlineStr">
        <is>
          <t>Charlene Sparks</t>
        </is>
      </c>
      <c r="G230" s="5" t="n">
        <v>41200</v>
      </c>
      <c r="H230" s="5" t="n">
        <v>32304.92</v>
      </c>
      <c r="I230" s="5" t="n">
        <v>29924.09</v>
      </c>
      <c r="J230" s="5" t="n">
        <v>29239.64</v>
      </c>
      <c r="K230" s="5" t="n">
        <v>29239.64</v>
      </c>
      <c r="L230" s="5" t="n">
        <v>0</v>
      </c>
      <c r="M230" s="5" t="n">
        <v>22925.4</v>
      </c>
      <c r="N230" s="5" t="n">
        <v>6314.239999999998</v>
      </c>
      <c r="O230" s="6" t="n">
        <v>0.784</v>
      </c>
      <c r="P230" s="6" t="n">
        <v>0.7841</v>
      </c>
    </row>
    <row r="231">
      <c r="A231" s="4" t="inlineStr">
        <is>
          <t>25-PC-42717</t>
        </is>
      </c>
      <c r="B231" s="4" t="inlineStr">
        <is>
          <t>Task Order 24: Sea Oat Cell Tower Data Recovery</t>
        </is>
      </c>
      <c r="C231" s="4" t="inlineStr">
        <is>
          <t>In Progress</t>
        </is>
      </c>
      <c r="D231" s="4" t="inlineStr">
        <is>
          <t>Time and material</t>
        </is>
      </c>
      <c r="E231" s="4" t="inlineStr">
        <is>
          <t>Maritime</t>
        </is>
      </c>
      <c r="F231" s="4" t="inlineStr">
        <is>
          <t>Kyle Maynard</t>
        </is>
      </c>
      <c r="G231" s="5" t="n">
        <v>130300</v>
      </c>
      <c r="H231" s="5" t="n">
        <v>128601.35</v>
      </c>
      <c r="I231" s="5" t="n">
        <v>128601.35</v>
      </c>
      <c r="J231" s="5" t="n">
        <v>95796.56</v>
      </c>
      <c r="K231" s="5" t="n">
        <v>95796.56</v>
      </c>
      <c r="L231" s="5" t="n">
        <v>0</v>
      </c>
      <c r="M231" s="5" t="n">
        <v>79985.69</v>
      </c>
      <c r="N231" s="5" t="n">
        <v>15810.87</v>
      </c>
      <c r="O231" s="6" t="n">
        <v>0.987</v>
      </c>
      <c r="P231" s="6" t="n">
        <v>0.835</v>
      </c>
    </row>
    <row r="232">
      <c r="A232" s="4" t="inlineStr">
        <is>
          <t>25-PC-43073</t>
        </is>
      </c>
      <c r="B232" s="4" t="inlineStr">
        <is>
          <t>Elk Meadow Highway Widening Phase I Survey</t>
        </is>
      </c>
      <c r="C232" s="4" t="inlineStr">
        <is>
          <t>Transferred Entity</t>
        </is>
      </c>
      <c r="D232" s="4" t="inlineStr">
        <is>
          <t>Time and material</t>
        </is>
      </c>
      <c r="E232" s="4" t="inlineStr">
        <is>
          <t>Geospatial</t>
        </is>
      </c>
      <c r="F232" s="4" t="inlineStr">
        <is>
          <t>Sylvia Callahan</t>
        </is>
      </c>
      <c r="G232" s="5" t="n">
        <v>62000</v>
      </c>
      <c r="H232" s="5" t="n">
        <v>54684.75</v>
      </c>
      <c r="I232" s="5" t="n">
        <v>54684.75</v>
      </c>
      <c r="J232" s="5" t="n">
        <v>44404.4</v>
      </c>
      <c r="K232" s="5" t="n">
        <v>44404.4</v>
      </c>
      <c r="L232" s="5" t="n">
        <v>0</v>
      </c>
      <c r="M232" s="5" t="n">
        <v>44584.79</v>
      </c>
      <c r="N232" s="5" t="n">
        <v>-180.3899999999994</v>
      </c>
      <c r="O232" s="6" t="n">
        <v>0.882</v>
      </c>
      <c r="P232" s="6" t="n">
        <v>1.0041</v>
      </c>
    </row>
    <row r="233">
      <c r="A233" s="4" t="inlineStr">
        <is>
          <t>25-PC-43203</t>
        </is>
      </c>
      <c r="B233" s="4" t="inlineStr">
        <is>
          <t>Bramble Creek Mine Expansion Archaeological Testing</t>
        </is>
      </c>
      <c r="C233" s="4" t="inlineStr">
        <is>
          <t>In Progress</t>
        </is>
      </c>
      <c r="D233" s="4" t="inlineStr">
        <is>
          <t>Fixed fee</t>
        </is>
      </c>
      <c r="E233" s="4" t="inlineStr">
        <is>
          <t>Meridian Central</t>
        </is>
      </c>
      <c r="F233" s="4" t="inlineStr">
        <is>
          <t>Seth Zavala</t>
        </is>
      </c>
      <c r="G233" s="5" t="n">
        <v>128400</v>
      </c>
      <c r="H233" s="5" t="n">
        <v>128400</v>
      </c>
      <c r="I233" s="5" t="n">
        <v>128209.36</v>
      </c>
      <c r="J233" s="5" t="n">
        <v>106315.2</v>
      </c>
      <c r="K233" s="5" t="n">
        <v>106315.2</v>
      </c>
      <c r="L233" s="5" t="n">
        <v>0</v>
      </c>
      <c r="M233" s="5" t="n">
        <v>195734.3</v>
      </c>
      <c r="N233" s="5" t="n">
        <v>-89419.09999999999</v>
      </c>
      <c r="O233" s="6" t="n">
        <v>1</v>
      </c>
      <c r="P233" s="6" t="n">
        <v>1.8411</v>
      </c>
    </row>
    <row r="234">
      <c r="A234" s="4" t="inlineStr">
        <is>
          <t>25-PC-43286</t>
        </is>
      </c>
      <c r="B234" s="4" t="inlineStr">
        <is>
          <t>Riverbend Highway Widening - Phase II Testing</t>
        </is>
      </c>
      <c r="C234" s="4" t="inlineStr">
        <is>
          <t>In Progress</t>
        </is>
      </c>
      <c r="D234" s="4" t="inlineStr">
        <is>
          <t>Time and material</t>
        </is>
      </c>
      <c r="E234" s="4" t="inlineStr">
        <is>
          <t>Meridian Central</t>
        </is>
      </c>
      <c r="F234" s="4" t="inlineStr">
        <is>
          <t>Seth Zavala</t>
        </is>
      </c>
      <c r="G234" s="5" t="n">
        <v>15700</v>
      </c>
      <c r="H234" s="5" t="n">
        <v>15700</v>
      </c>
      <c r="I234" s="5" t="n">
        <v>11349.21</v>
      </c>
      <c r="J234" s="5" t="n">
        <v>10903.65</v>
      </c>
      <c r="K234" s="5" t="n">
        <v>10903.65</v>
      </c>
      <c r="L234" s="5" t="n">
        <v>0</v>
      </c>
      <c r="M234" s="5" t="n">
        <v>71168.37</v>
      </c>
      <c r="N234" s="5" t="n">
        <v>-60264.71999999999</v>
      </c>
      <c r="O234" s="6" t="n">
        <v>1</v>
      </c>
      <c r="P234" s="6" t="n">
        <v>6.527</v>
      </c>
    </row>
    <row r="235">
      <c r="A235" s="4" t="inlineStr">
        <is>
          <t>25-PC-43315</t>
        </is>
      </c>
      <c r="B235" s="4" t="inlineStr">
        <is>
          <t>Phase III: Hackberry Bend Bridge Replacement Architectural History Survey</t>
        </is>
      </c>
      <c r="C235" s="4" t="inlineStr">
        <is>
          <t>Cost Tracking on Closed Project</t>
        </is>
      </c>
      <c r="D235" s="4" t="inlineStr">
        <is>
          <t>Fixed fee</t>
        </is>
      </c>
      <c r="E235" s="4" t="inlineStr">
        <is>
          <t>Meridian Central</t>
        </is>
      </c>
      <c r="F235" s="4" t="inlineStr">
        <is>
          <t>Clinton Solis</t>
        </is>
      </c>
      <c r="G235" s="5" t="n">
        <v>715500</v>
      </c>
      <c r="H235" s="5" t="n">
        <v>650818.8</v>
      </c>
      <c r="I235" s="5" t="n">
        <v>650818.8</v>
      </c>
      <c r="J235" s="5" t="n">
        <v>625275.45</v>
      </c>
      <c r="K235" s="5" t="n">
        <v>625275.45</v>
      </c>
      <c r="L235" s="5" t="n">
        <v>0</v>
      </c>
      <c r="M235" s="5" t="n">
        <v>568777.84</v>
      </c>
      <c r="N235" s="5" t="n">
        <v>56497.60999999999</v>
      </c>
      <c r="O235" s="6" t="n">
        <v>0.91</v>
      </c>
      <c r="P235" s="6" t="n">
        <v>0.9096</v>
      </c>
    </row>
    <row r="236">
      <c r="A236" s="4" t="inlineStr">
        <is>
          <t>25-PC-43434</t>
        </is>
      </c>
      <c r="B236" s="4" t="inlineStr">
        <is>
          <t>Riverbend Airport Apron - Class III Survey</t>
        </is>
      </c>
      <c r="C236" s="4" t="inlineStr">
        <is>
          <t>Cost Tracking on Closed Project</t>
        </is>
      </c>
      <c r="D236" s="4" t="inlineStr">
        <is>
          <t>Fixed fee</t>
        </is>
      </c>
      <c r="E236" s="4" t="inlineStr">
        <is>
          <t>Meridian Central</t>
        </is>
      </c>
      <c r="F236" s="4" t="inlineStr">
        <is>
          <t>Seth Zavala</t>
        </is>
      </c>
      <c r="G236" s="5" t="n">
        <v>551800</v>
      </c>
      <c r="H236" s="5" t="n">
        <v>551800</v>
      </c>
      <c r="I236" s="5" t="n">
        <v>551800</v>
      </c>
      <c r="J236" s="5" t="n">
        <v>378424.44</v>
      </c>
      <c r="K236" s="5" t="n">
        <v>378424.44</v>
      </c>
      <c r="L236" s="5" t="n">
        <v>0</v>
      </c>
      <c r="M236" s="5" t="n">
        <v>405626.36</v>
      </c>
      <c r="N236" s="5" t="n">
        <v>-27201.91999999998</v>
      </c>
      <c r="O236" s="6" t="n">
        <v>1</v>
      </c>
      <c r="P236" s="6" t="n">
        <v>1.0719</v>
      </c>
    </row>
    <row r="237">
      <c r="A237" s="4" t="inlineStr">
        <is>
          <t>25-PC-43566</t>
        </is>
      </c>
      <c r="B237" s="4" t="inlineStr">
        <is>
          <t>Copper Flats Solar - Phase II Testing</t>
        </is>
      </c>
      <c r="C237" s="4" t="inlineStr">
        <is>
          <t>In Progress</t>
        </is>
      </c>
      <c r="D237" s="4" t="inlineStr">
        <is>
          <t>Fixed fee</t>
        </is>
      </c>
      <c r="E237" s="4" t="inlineStr">
        <is>
          <t>Meridian Central</t>
        </is>
      </c>
      <c r="F237" s="4" t="inlineStr">
        <is>
          <t>Mathew Shea</t>
        </is>
      </c>
      <c r="G237" s="5" t="n">
        <v>114200</v>
      </c>
      <c r="H237" s="5" t="n">
        <v>114200</v>
      </c>
      <c r="I237" s="5" t="n">
        <v>114200</v>
      </c>
      <c r="J237" s="5" t="n">
        <v>73887.39999999999</v>
      </c>
      <c r="K237" s="5" t="n">
        <v>73887.39999999999</v>
      </c>
      <c r="L237" s="5" t="n">
        <v>0</v>
      </c>
      <c r="M237" s="5" t="n">
        <v>131458.02</v>
      </c>
      <c r="N237" s="5" t="n">
        <v>-57570.62</v>
      </c>
      <c r="O237" s="6" t="n">
        <v>1</v>
      </c>
      <c r="P237" s="6" t="n">
        <v>1.7792</v>
      </c>
    </row>
    <row r="238">
      <c r="A238" s="4" t="inlineStr">
        <is>
          <t>25-PC-43621</t>
        </is>
      </c>
      <c r="B238" s="4" t="inlineStr">
        <is>
          <t>Task Order 8: Pine Hollow Highway Widening Historic Resources Evaluation</t>
        </is>
      </c>
      <c r="C238" s="4" t="inlineStr">
        <is>
          <t>In Progress</t>
        </is>
      </c>
      <c r="D238" s="4" t="inlineStr">
        <is>
          <t>Fixed fee</t>
        </is>
      </c>
      <c r="E238" s="4" t="inlineStr">
        <is>
          <t>Meridian Southwest</t>
        </is>
      </c>
      <c r="F238" s="4" t="inlineStr">
        <is>
          <t>Alan Gay</t>
        </is>
      </c>
      <c r="G238" s="5" t="n">
        <v>52800</v>
      </c>
      <c r="H238" s="5" t="n">
        <v>52800</v>
      </c>
      <c r="I238" s="5" t="n">
        <v>52800</v>
      </c>
      <c r="J238" s="5" t="n">
        <v>37979.04</v>
      </c>
      <c r="K238" s="5" t="n">
        <v>37979.04</v>
      </c>
      <c r="L238" s="5" t="n">
        <v>0</v>
      </c>
      <c r="M238" s="5" t="n">
        <v>37986.88</v>
      </c>
      <c r="N238" s="5" t="n">
        <v>-7.839999999996508</v>
      </c>
      <c r="O238" s="6" t="n">
        <v>1</v>
      </c>
      <c r="P238" s="6" t="n">
        <v>1.0002</v>
      </c>
    </row>
    <row r="239">
      <c r="A239" s="4" t="inlineStr">
        <is>
          <t>25-PC-43639</t>
        </is>
      </c>
      <c r="B239" s="4" t="inlineStr">
        <is>
          <t>Windmill Flat Battery Storage Curation</t>
        </is>
      </c>
      <c r="C239" s="4" t="inlineStr">
        <is>
          <t>Final Reporting/Review</t>
        </is>
      </c>
      <c r="D239" s="4" t="inlineStr">
        <is>
          <t>Fixed fee</t>
        </is>
      </c>
      <c r="E239" s="4" t="inlineStr">
        <is>
          <t>Meridian Southwest</t>
        </is>
      </c>
      <c r="F239" s="4" t="inlineStr">
        <is>
          <t>Harold Chaney</t>
        </is>
      </c>
      <c r="G239" s="5" t="n">
        <v>137000</v>
      </c>
      <c r="H239" s="5" t="n">
        <v>137000</v>
      </c>
      <c r="I239" s="5" t="n">
        <v>133193.26</v>
      </c>
      <c r="J239" s="5" t="n">
        <v>91502.3</v>
      </c>
      <c r="K239" s="5" t="n">
        <v>91502.3</v>
      </c>
      <c r="L239" s="5" t="n">
        <v>0</v>
      </c>
      <c r="M239" s="5" t="n">
        <v>100918.9</v>
      </c>
      <c r="N239" s="5" t="n">
        <v>-9416.599999999991</v>
      </c>
      <c r="O239" s="6" t="n">
        <v>1</v>
      </c>
      <c r="P239" s="6" t="n">
        <v>1.1029</v>
      </c>
    </row>
    <row r="240">
      <c r="A240" s="4" t="inlineStr">
        <is>
          <t>25-PC-43653</t>
        </is>
      </c>
      <c r="B240" s="4" t="inlineStr">
        <is>
          <t>Ember Valley Housing Development Paleontological Monitoring</t>
        </is>
      </c>
      <c r="C240" s="4" t="inlineStr">
        <is>
          <t>Lab/Curation</t>
        </is>
      </c>
      <c r="D240" s="4" t="inlineStr">
        <is>
          <t>Fixed fee</t>
        </is>
      </c>
      <c r="E240" s="4" t="inlineStr">
        <is>
          <t>Meridian Southwest</t>
        </is>
      </c>
      <c r="F240" s="4" t="inlineStr">
        <is>
          <t>Reginald Kerr</t>
        </is>
      </c>
      <c r="G240" s="5" t="n">
        <v>92800</v>
      </c>
      <c r="H240" s="5" t="n">
        <v>92800</v>
      </c>
      <c r="I240" s="5" t="n">
        <v>80044.53999999999</v>
      </c>
      <c r="J240" s="5" t="n">
        <v>78211.84</v>
      </c>
      <c r="K240" s="5" t="n">
        <v>78211.84</v>
      </c>
      <c r="L240" s="5" t="n">
        <v>0</v>
      </c>
      <c r="M240" s="5" t="n">
        <v>103245.03</v>
      </c>
      <c r="N240" s="5" t="n">
        <v>-25033.19</v>
      </c>
      <c r="O240" s="6" t="n">
        <v>1</v>
      </c>
      <c r="P240" s="6" t="n">
        <v>1.3201</v>
      </c>
    </row>
    <row r="241">
      <c r="A241" s="4" t="inlineStr">
        <is>
          <t>25-PC-43993</t>
        </is>
      </c>
      <c r="B241" s="4" t="inlineStr">
        <is>
          <t>Timber Gap GIS Mapping</t>
        </is>
      </c>
      <c r="C241" s="4" t="inlineStr">
        <is>
          <t>Transferred Entity</t>
        </is>
      </c>
      <c r="D241" s="4" t="inlineStr">
        <is>
          <t>Fixed fee</t>
        </is>
      </c>
      <c r="E241" s="4" t="inlineStr">
        <is>
          <t>NH Gulf (USD)</t>
        </is>
      </c>
      <c r="F241" s="4" t="inlineStr">
        <is>
          <t>Javier Rangel</t>
        </is>
      </c>
      <c r="G241" s="5" t="n">
        <v>27900</v>
      </c>
      <c r="H241" s="5" t="n">
        <v>20428.37866666667</v>
      </c>
      <c r="I241" s="5" t="n">
        <v>19158.53066666667</v>
      </c>
      <c r="J241" s="5" t="n">
        <v>19669.5</v>
      </c>
      <c r="K241" s="5" t="n">
        <v>19669.5</v>
      </c>
      <c r="L241" s="5" t="n">
        <v>0</v>
      </c>
      <c r="M241" s="5" t="n">
        <v>14401.75</v>
      </c>
      <c r="N241" s="5" t="n">
        <v>5267.75</v>
      </c>
      <c r="O241" s="6" t="n">
        <v>0.7321999522102748</v>
      </c>
      <c r="P241" s="6" t="n">
        <v>0.7321868883296474</v>
      </c>
    </row>
    <row r="242">
      <c r="A242" s="4" t="inlineStr">
        <is>
          <t>25-PC-44046</t>
        </is>
      </c>
      <c r="B242" s="4" t="inlineStr">
        <is>
          <t>Kestrel Butte Section 106 Consultation</t>
        </is>
      </c>
      <c r="C242" s="4" t="inlineStr">
        <is>
          <t>Transferred Entity</t>
        </is>
      </c>
      <c r="D242" s="4" t="inlineStr">
        <is>
          <t>Fixed fee</t>
        </is>
      </c>
      <c r="E242" s="4" t="inlineStr">
        <is>
          <t>NH Gulf (USD)</t>
        </is>
      </c>
      <c r="F242" s="4" t="inlineStr">
        <is>
          <t>Randy Cantu</t>
        </is>
      </c>
      <c r="G242" s="5" t="n">
        <v>320300</v>
      </c>
      <c r="H242" s="5" t="n">
        <v>320300</v>
      </c>
      <c r="I242" s="5" t="n">
        <v>320300</v>
      </c>
      <c r="J242" s="5" t="n">
        <v>220526.55</v>
      </c>
      <c r="K242" s="5" t="n">
        <v>220526.55</v>
      </c>
      <c r="L242" s="5" t="n">
        <v>0</v>
      </c>
      <c r="M242" s="5" t="n">
        <v>276639.9</v>
      </c>
      <c r="N242" s="5" t="n">
        <v>-56113.35000000003</v>
      </c>
      <c r="O242" s="6" t="n">
        <v>1</v>
      </c>
      <c r="P242" s="6" t="n">
        <v>1.25445167486636</v>
      </c>
    </row>
    <row r="243">
      <c r="A243" s="4" t="inlineStr">
        <is>
          <t>25-PC-44198</t>
        </is>
      </c>
      <c r="B243" s="4" t="inlineStr">
        <is>
          <t>Task Order 2: Redbud Highway Widening GIS Mapping</t>
        </is>
      </c>
      <c r="C243" s="4" t="inlineStr">
        <is>
          <t>Transferred Entity</t>
        </is>
      </c>
      <c r="D243" s="4" t="inlineStr">
        <is>
          <t>Time and material</t>
        </is>
      </c>
      <c r="E243" s="4" t="inlineStr">
        <is>
          <t>NH Gulf (USD)</t>
        </is>
      </c>
      <c r="F243" s="4" t="inlineStr">
        <is>
          <t>Susan Wilkins</t>
        </is>
      </c>
      <c r="G243" s="5" t="n">
        <v>31100</v>
      </c>
      <c r="H243" s="5" t="n">
        <v>31100</v>
      </c>
      <c r="I243" s="5" t="n">
        <v>30922.86133333333</v>
      </c>
      <c r="J243" s="5" t="n">
        <v>17934.14</v>
      </c>
      <c r="K243" s="5" t="n">
        <v>13115.76</v>
      </c>
      <c r="L243" s="5" t="n">
        <v>4818.38</v>
      </c>
      <c r="M243" s="5" t="n">
        <v>31276.11733333334</v>
      </c>
      <c r="N243" s="5" t="n">
        <v>-13341.97733333334</v>
      </c>
      <c r="O243" s="6" t="n">
        <v>1</v>
      </c>
      <c r="P243" s="6" t="n">
        <v>1.743942967621159</v>
      </c>
    </row>
    <row r="244">
      <c r="A244" s="4" t="inlineStr">
        <is>
          <t>25-PC-44312</t>
        </is>
      </c>
      <c r="B244" s="4" t="inlineStr">
        <is>
          <t>Task Order 19: Millbrook Bridge Replacement Class III Survey</t>
        </is>
      </c>
      <c r="C244" s="4" t="inlineStr">
        <is>
          <t>In Progress</t>
        </is>
      </c>
      <c r="D244" s="4" t="inlineStr">
        <is>
          <t>Fixed fee</t>
        </is>
      </c>
      <c r="E244" s="4" t="inlineStr">
        <is>
          <t>NH Gulf (USD)</t>
        </is>
      </c>
      <c r="F244" s="4" t="inlineStr">
        <is>
          <t>Randy Cantu</t>
        </is>
      </c>
      <c r="G244" s="5" t="n">
        <v>97000</v>
      </c>
      <c r="H244" s="5" t="n">
        <v>97000</v>
      </c>
      <c r="I244" s="5" t="n">
        <v>91499.34</v>
      </c>
      <c r="J244" s="5" t="n">
        <v>71004</v>
      </c>
      <c r="K244" s="5" t="n">
        <v>71004</v>
      </c>
      <c r="L244" s="5" t="n">
        <v>0</v>
      </c>
      <c r="M244" s="5" t="n">
        <v>79042.17</v>
      </c>
      <c r="N244" s="5" t="n">
        <v>-8038.169999999998</v>
      </c>
      <c r="O244" s="6" t="n">
        <v>1</v>
      </c>
      <c r="P244" s="6" t="n">
        <v>1.1132</v>
      </c>
    </row>
    <row r="245">
      <c r="A245" s="4" t="inlineStr">
        <is>
          <t>26-PC-30432</t>
        </is>
      </c>
      <c r="B245" s="4" t="inlineStr">
        <is>
          <t>On-Call: Foxglove Substation Cultural Resources Assessment</t>
        </is>
      </c>
      <c r="C245" s="4" t="inlineStr">
        <is>
          <t>Cost Tracking on Closed Project</t>
        </is>
      </c>
      <c r="D245" s="4" t="inlineStr">
        <is>
          <t>Time and material</t>
        </is>
      </c>
      <c r="E245" s="4" t="inlineStr">
        <is>
          <t>Big Sky</t>
        </is>
      </c>
      <c r="F245" s="4" t="inlineStr">
        <is>
          <t>Javier Estrada</t>
        </is>
      </c>
      <c r="G245" s="5" t="n">
        <v>93100</v>
      </c>
      <c r="H245" s="5" t="n">
        <v>0</v>
      </c>
      <c r="I245" s="5" t="n">
        <v>0</v>
      </c>
      <c r="J245" s="5" t="n">
        <v>63801.43</v>
      </c>
      <c r="K245" s="5" t="n">
        <v>63801.43</v>
      </c>
      <c r="L245" s="5" t="n">
        <v>0</v>
      </c>
      <c r="M245" s="5" t="n">
        <v>65021.47</v>
      </c>
      <c r="N245" s="5" t="n">
        <v>-1220.040000000001</v>
      </c>
      <c r="O245" s="6" t="n">
        <v>0</v>
      </c>
      <c r="P245" s="6" t="n">
        <v>1.0191</v>
      </c>
    </row>
    <row r="246">
      <c r="A246" s="4" t="inlineStr">
        <is>
          <t>26-PC-30501</t>
        </is>
      </c>
      <c r="B246" s="4" t="inlineStr">
        <is>
          <t>Hackberry Bend Bridge Replacement Architectural History Survey</t>
        </is>
      </c>
      <c r="C246" s="4" t="inlineStr">
        <is>
          <t>In Progress</t>
        </is>
      </c>
      <c r="D246" s="4" t="inlineStr">
        <is>
          <t>Fixed fee</t>
        </is>
      </c>
      <c r="E246" s="4" t="inlineStr">
        <is>
          <t>Big Sky</t>
        </is>
      </c>
      <c r="F246" s="4" t="inlineStr">
        <is>
          <t>Brendan Melton</t>
        </is>
      </c>
      <c r="G246" s="5" t="n">
        <v>19900</v>
      </c>
      <c r="H246" s="5" t="n">
        <v>19900</v>
      </c>
      <c r="I246" s="5" t="n">
        <v>19400.11</v>
      </c>
      <c r="J246" s="5" t="n">
        <v>14258.19</v>
      </c>
      <c r="K246" s="5" t="n">
        <v>12707.2</v>
      </c>
      <c r="L246" s="5" t="n">
        <v>1550.99</v>
      </c>
      <c r="M246" s="5" t="n">
        <v>18074.33</v>
      </c>
      <c r="N246" s="5" t="n">
        <v>-3816.140000000001</v>
      </c>
      <c r="O246" s="6" t="n">
        <v>1</v>
      </c>
      <c r="P246" s="6" t="n">
        <v>1.2676</v>
      </c>
    </row>
    <row r="247">
      <c r="A247" s="4" t="inlineStr">
        <is>
          <t>26-PC-30917</t>
        </is>
      </c>
      <c r="B247" s="4" t="inlineStr">
        <is>
          <t>Heron Marsh Harbor Dredging Environmental Review Support</t>
        </is>
      </c>
      <c r="C247" s="4" t="inlineStr">
        <is>
          <t>Cost Tracking on Closed Project</t>
        </is>
      </c>
      <c r="D247" s="4" t="inlineStr">
        <is>
          <t>Time and material</t>
        </is>
      </c>
      <c r="E247" s="4" t="inlineStr">
        <is>
          <t>Bluegrass</t>
        </is>
      </c>
      <c r="F247" s="4" t="inlineStr">
        <is>
          <t>Alice Galloway</t>
        </is>
      </c>
      <c r="G247" s="5" t="n">
        <v>209800</v>
      </c>
      <c r="H247" s="5" t="n">
        <v>0</v>
      </c>
      <c r="I247" s="5" t="n">
        <v>0</v>
      </c>
      <c r="J247" s="5" t="n">
        <v>135467.86</v>
      </c>
      <c r="K247" s="5" t="n">
        <v>135467.86</v>
      </c>
      <c r="L247" s="5" t="n">
        <v>0</v>
      </c>
      <c r="M247" s="5" t="n">
        <v>134699.95</v>
      </c>
      <c r="N247" s="5" t="n">
        <v>767.9099999999744</v>
      </c>
      <c r="O247" s="6" t="n">
        <v>0</v>
      </c>
      <c r="P247" s="6" t="n">
        <v>0.9943</v>
      </c>
    </row>
    <row r="248">
      <c r="A248" s="4" t="inlineStr">
        <is>
          <t>26-PC-31064</t>
        </is>
      </c>
      <c r="B248" s="4" t="inlineStr">
        <is>
          <t>Quail Run Archaeological Testing</t>
        </is>
      </c>
      <c r="C248" s="4" t="inlineStr">
        <is>
          <t>Cost Tracking on Closed Project</t>
        </is>
      </c>
      <c r="D248" s="4" t="inlineStr">
        <is>
          <t>Fixed fee</t>
        </is>
      </c>
      <c r="E248" s="4" t="inlineStr">
        <is>
          <t>Cascade</t>
        </is>
      </c>
      <c r="F248" s="4" t="inlineStr">
        <is>
          <t>Gene Nixon</t>
        </is>
      </c>
      <c r="G248" s="5" t="n">
        <v>74500</v>
      </c>
      <c r="H248" s="5" t="n">
        <v>74500</v>
      </c>
      <c r="I248" s="5" t="n">
        <v>74500</v>
      </c>
      <c r="J248" s="5" t="n">
        <v>60394.3</v>
      </c>
      <c r="K248" s="5" t="n">
        <v>53043.19</v>
      </c>
      <c r="L248" s="5" t="n">
        <v>7351.11</v>
      </c>
      <c r="M248" s="5" t="n">
        <v>76340.83</v>
      </c>
      <c r="N248" s="5" t="n">
        <v>-15946.53</v>
      </c>
      <c r="O248" s="6" t="n">
        <v>1</v>
      </c>
      <c r="P248" s="6" t="n">
        <v>1.264</v>
      </c>
    </row>
    <row r="249">
      <c r="A249" s="4" t="inlineStr">
        <is>
          <t>26-PC-31505</t>
        </is>
      </c>
      <c r="B249" s="4" t="inlineStr">
        <is>
          <t>Raven Rock Levee Repair - Built Environment Survey</t>
        </is>
      </c>
      <c r="C249" s="4" t="inlineStr">
        <is>
          <t>In Progress</t>
        </is>
      </c>
      <c r="D249" s="4" t="inlineStr">
        <is>
          <t>Fixed fee</t>
        </is>
      </c>
      <c r="E249" s="4" t="inlineStr">
        <is>
          <t>Cascade</t>
        </is>
      </c>
      <c r="F249" s="4" t="inlineStr">
        <is>
          <t>Donald Lutz</t>
        </is>
      </c>
      <c r="G249" s="5" t="n">
        <v>44400</v>
      </c>
      <c r="H249" s="5" t="n">
        <v>31128.84</v>
      </c>
      <c r="I249" s="5" t="n">
        <v>30936.04</v>
      </c>
      <c r="J249" s="5" t="n">
        <v>34032.6</v>
      </c>
      <c r="K249" s="5" t="n">
        <v>34032.6</v>
      </c>
      <c r="L249" s="5" t="n">
        <v>0</v>
      </c>
      <c r="M249" s="5" t="n">
        <v>23861.11</v>
      </c>
      <c r="N249" s="5" t="n">
        <v>10171.49</v>
      </c>
      <c r="O249" s="6" t="n">
        <v>0.701</v>
      </c>
      <c r="P249" s="6" t="n">
        <v>0.7010999999999999</v>
      </c>
    </row>
    <row r="250">
      <c r="A250" s="4" t="inlineStr">
        <is>
          <t>26-PC-32394</t>
        </is>
      </c>
      <c r="B250" s="4" t="inlineStr">
        <is>
          <t>Timber Gap Highway Widening Paleontological Monitoring</t>
        </is>
      </c>
      <c r="C250" s="4" t="inlineStr">
        <is>
          <t>In Progress</t>
        </is>
      </c>
      <c r="D250" s="4" t="inlineStr">
        <is>
          <t>Time and material</t>
        </is>
      </c>
      <c r="E250" s="4" t="inlineStr">
        <is>
          <t>Chesapeake</t>
        </is>
      </c>
      <c r="F250" s="4" t="inlineStr">
        <is>
          <t>Bryan Mann</t>
        </is>
      </c>
      <c r="G250" s="5" t="n">
        <v>13700</v>
      </c>
      <c r="H250" s="5" t="n">
        <v>13700</v>
      </c>
      <c r="I250" s="5" t="n">
        <v>13641.82</v>
      </c>
      <c r="J250" s="5" t="n">
        <v>9522.870000000001</v>
      </c>
      <c r="K250" s="5" t="n">
        <v>9522.870000000001</v>
      </c>
      <c r="L250" s="5" t="n">
        <v>0</v>
      </c>
      <c r="M250" s="5" t="n">
        <v>31103.81</v>
      </c>
      <c r="N250" s="5" t="n">
        <v>-21580.94</v>
      </c>
      <c r="O250" s="6" t="n">
        <v>1</v>
      </c>
      <c r="P250" s="6" t="n">
        <v>3.2662</v>
      </c>
    </row>
    <row r="251">
      <c r="A251" s="4" t="inlineStr">
        <is>
          <t>26-PC-32744</t>
        </is>
      </c>
      <c r="B251" s="4" t="inlineStr">
        <is>
          <t>Sea Oat Airport Apron Phase II Testing</t>
        </is>
      </c>
      <c r="C251" s="4" t="inlineStr">
        <is>
          <t>Cost Tracking on Closed Project</t>
        </is>
      </c>
      <c r="D251" s="4" t="inlineStr">
        <is>
          <t>Time and material</t>
        </is>
      </c>
      <c r="E251" s="4" t="inlineStr">
        <is>
          <t>Chesapeake</t>
        </is>
      </c>
      <c r="F251" s="4" t="inlineStr">
        <is>
          <t>Sandy Kerr</t>
        </is>
      </c>
      <c r="G251" s="5" t="n">
        <v>137100</v>
      </c>
      <c r="H251" s="5" t="n">
        <v>0</v>
      </c>
      <c r="I251" s="5" t="n">
        <v>0</v>
      </c>
      <c r="J251" s="5" t="n">
        <v>100617.66</v>
      </c>
      <c r="K251" s="5" t="n">
        <v>93287.5</v>
      </c>
      <c r="L251" s="5" t="n">
        <v>7330.16</v>
      </c>
      <c r="M251" s="5" t="n">
        <v>122245.29</v>
      </c>
      <c r="N251" s="5" t="n">
        <v>-21627.62999999999</v>
      </c>
      <c r="O251" s="6" t="n">
        <v>0</v>
      </c>
      <c r="P251" s="6" t="n">
        <v>1.2149</v>
      </c>
    </row>
    <row r="252">
      <c r="A252" s="4" t="inlineStr">
        <is>
          <t>26-PC-33703</t>
        </is>
      </c>
      <c r="B252" s="4" t="inlineStr">
        <is>
          <t>Plover Cove Mixed-Use Development - GIS Mapping</t>
        </is>
      </c>
      <c r="C252" s="4" t="inlineStr">
        <is>
          <t>Final Reporting/Review</t>
        </is>
      </c>
      <c r="D252" s="4" t="inlineStr">
        <is>
          <t>Fixed fee</t>
        </is>
      </c>
      <c r="E252" s="4" t="inlineStr">
        <is>
          <t>Great Lakes</t>
        </is>
      </c>
      <c r="F252" s="4" t="inlineStr">
        <is>
          <t>Karl Valenzuela</t>
        </is>
      </c>
      <c r="G252" s="5" t="n">
        <v>21700</v>
      </c>
      <c r="H252" s="5" t="n">
        <v>21700</v>
      </c>
      <c r="I252" s="5" t="n">
        <v>11375.68</v>
      </c>
      <c r="J252" s="5" t="n">
        <v>18501.42</v>
      </c>
      <c r="K252" s="5" t="n">
        <v>18501.42</v>
      </c>
      <c r="L252" s="5" t="n">
        <v>0</v>
      </c>
      <c r="M252" s="5" t="n">
        <v>21928.62</v>
      </c>
      <c r="N252" s="5" t="n">
        <v>-3427.200000000001</v>
      </c>
      <c r="O252" s="6" t="n">
        <v>1</v>
      </c>
      <c r="P252" s="6" t="n">
        <v>1.1852</v>
      </c>
    </row>
    <row r="253">
      <c r="A253" s="4" t="inlineStr">
        <is>
          <t>26-PC-34101</t>
        </is>
      </c>
      <c r="B253" s="4" t="inlineStr">
        <is>
          <t>North Fork Rail Siding Paleontological Monitoring</t>
        </is>
      </c>
      <c r="C253" s="4" t="inlineStr">
        <is>
          <t>In Progress</t>
        </is>
      </c>
      <c r="D253" s="4" t="inlineStr">
        <is>
          <t>Fixed fee</t>
        </is>
      </c>
      <c r="E253" s="4" t="inlineStr">
        <is>
          <t>Great Lakes</t>
        </is>
      </c>
      <c r="F253" s="4" t="inlineStr">
        <is>
          <t>Nathan Lambert</t>
        </is>
      </c>
      <c r="G253" s="5" t="n">
        <v>76400</v>
      </c>
      <c r="H253" s="5" t="n">
        <v>76400</v>
      </c>
      <c r="I253" s="5" t="n">
        <v>70250.02</v>
      </c>
      <c r="J253" s="5" t="n">
        <v>53087.85</v>
      </c>
      <c r="K253" s="5" t="n">
        <v>46646.64</v>
      </c>
      <c r="L253" s="5" t="n">
        <v>6441.21</v>
      </c>
      <c r="M253" s="5" t="n">
        <v>80951.17999999999</v>
      </c>
      <c r="N253" s="5" t="n">
        <v>-27863.32999999999</v>
      </c>
      <c r="O253" s="6" t="n">
        <v>1</v>
      </c>
      <c r="P253" s="6" t="n">
        <v>1.5249</v>
      </c>
    </row>
    <row r="254">
      <c r="A254" s="4" t="inlineStr">
        <is>
          <t>26-PC-34757</t>
        </is>
      </c>
      <c r="B254" s="4" t="inlineStr">
        <is>
          <t>Kestrel Butte Data Recovery</t>
        </is>
      </c>
      <c r="C254" s="4" t="inlineStr">
        <is>
          <t>In Progress</t>
        </is>
      </c>
      <c r="D254" s="4" t="inlineStr">
        <is>
          <t>Time and material</t>
        </is>
      </c>
      <c r="E254" s="4" t="inlineStr">
        <is>
          <t>Great Lakes</t>
        </is>
      </c>
      <c r="F254" s="4" t="inlineStr">
        <is>
          <t>Angelica Cervantes</t>
        </is>
      </c>
      <c r="G254" s="5" t="n">
        <v>43800</v>
      </c>
      <c r="H254" s="5" t="n">
        <v>43800</v>
      </c>
      <c r="I254" s="5" t="n">
        <v>29653.46</v>
      </c>
      <c r="J254" s="5" t="n">
        <v>30230.76</v>
      </c>
      <c r="K254" s="5" t="n">
        <v>30230.76</v>
      </c>
      <c r="L254" s="5" t="n">
        <v>0</v>
      </c>
      <c r="M254" s="5" t="n">
        <v>49508.25</v>
      </c>
      <c r="N254" s="5" t="n">
        <v>-19277.49</v>
      </c>
      <c r="O254" s="6" t="n">
        <v>1</v>
      </c>
      <c r="P254" s="6" t="n">
        <v>1.6377</v>
      </c>
    </row>
    <row r="255">
      <c r="A255" s="4" t="inlineStr">
        <is>
          <t>26-PC-34982</t>
        </is>
      </c>
      <c r="B255" s="4" t="inlineStr">
        <is>
          <t>Sandpiper Historic Resources Evaluation</t>
        </is>
      </c>
      <c r="C255" s="4" t="inlineStr">
        <is>
          <t>In Progress</t>
        </is>
      </c>
      <c r="D255" s="4" t="inlineStr">
        <is>
          <t>Time and material</t>
        </is>
      </c>
      <c r="E255" s="4" t="inlineStr">
        <is>
          <t>Gulf Coast West</t>
        </is>
      </c>
      <c r="F255" s="4" t="inlineStr">
        <is>
          <t>Bernard Erickson</t>
        </is>
      </c>
      <c r="G255" s="5" t="n">
        <v>10600</v>
      </c>
      <c r="H255" s="5" t="n">
        <v>10600</v>
      </c>
      <c r="I255" s="5" t="n">
        <v>7692.83</v>
      </c>
      <c r="J255" s="5" t="n">
        <v>7895.94</v>
      </c>
      <c r="K255" s="5" t="n">
        <v>7895.94</v>
      </c>
      <c r="L255" s="5" t="n">
        <v>0</v>
      </c>
      <c r="M255" s="5" t="n">
        <v>18818.09</v>
      </c>
      <c r="N255" s="5" t="n">
        <v>-10922.15</v>
      </c>
      <c r="O255" s="6" t="n">
        <v>1</v>
      </c>
      <c r="P255" s="6" t="n">
        <v>2.3833</v>
      </c>
    </row>
    <row r="256">
      <c r="A256" s="4" t="inlineStr">
        <is>
          <t>26-PC-35103</t>
        </is>
      </c>
      <c r="B256" s="4" t="inlineStr">
        <is>
          <t>Kestrel Butte Harbor Dredging - Historic Resources Evaluation</t>
        </is>
      </c>
      <c r="C256" s="4" t="inlineStr">
        <is>
          <t>In Progress</t>
        </is>
      </c>
      <c r="D256" s="4" t="inlineStr">
        <is>
          <t>Fixed fee</t>
        </is>
      </c>
      <c r="E256" s="4" t="inlineStr">
        <is>
          <t>Gulf Coast East</t>
        </is>
      </c>
      <c r="F256" s="4" t="inlineStr">
        <is>
          <t>Courtney Daugherty</t>
        </is>
      </c>
      <c r="G256" s="5" t="n">
        <v>29600</v>
      </c>
      <c r="H256" s="5" t="n">
        <v>29600</v>
      </c>
      <c r="I256" s="5" t="n">
        <v>22003.12</v>
      </c>
      <c r="J256" s="5" t="n">
        <v>19287.36</v>
      </c>
      <c r="K256" s="5" t="n">
        <v>19287.36</v>
      </c>
      <c r="L256" s="5" t="n">
        <v>0</v>
      </c>
      <c r="M256" s="5" t="n">
        <v>56287.28</v>
      </c>
      <c r="N256" s="5" t="n">
        <v>-36999.92</v>
      </c>
      <c r="O256" s="6" t="n">
        <v>1</v>
      </c>
      <c r="P256" s="6" t="n">
        <v>2.9184</v>
      </c>
    </row>
    <row r="257">
      <c r="A257" s="4" t="inlineStr">
        <is>
          <t>26-PC-35510</t>
        </is>
      </c>
      <c r="B257" s="4" t="inlineStr">
        <is>
          <t>Blue Heron Wind Farm - Phase I Survey</t>
        </is>
      </c>
      <c r="C257" s="4" t="inlineStr">
        <is>
          <t>In Progress</t>
        </is>
      </c>
      <c r="D257" s="4" t="inlineStr">
        <is>
          <t>Fixed fee</t>
        </is>
      </c>
      <c r="E257" s="4" t="inlineStr">
        <is>
          <t>High Desert</t>
        </is>
      </c>
      <c r="F257" s="4" t="inlineStr">
        <is>
          <t>Eileen Poole</t>
        </is>
      </c>
      <c r="G257" s="5" t="n">
        <v>68900</v>
      </c>
      <c r="H257" s="5" t="n">
        <v>59529.6</v>
      </c>
      <c r="I257" s="5" t="n">
        <v>49947.75</v>
      </c>
      <c r="J257" s="5" t="n">
        <v>53679.99</v>
      </c>
      <c r="K257" s="5" t="n">
        <v>53679.99</v>
      </c>
      <c r="L257" s="5" t="n">
        <v>0</v>
      </c>
      <c r="M257" s="5" t="n">
        <v>46380.29</v>
      </c>
      <c r="N257" s="5" t="n">
        <v>7299.699999999997</v>
      </c>
      <c r="O257" s="6" t="n">
        <v>0.864</v>
      </c>
      <c r="P257" s="6" t="n">
        <v>0.864</v>
      </c>
    </row>
    <row r="258">
      <c r="A258" s="4" t="inlineStr">
        <is>
          <t>26-PC-35766</t>
        </is>
      </c>
      <c r="B258" s="4" t="inlineStr">
        <is>
          <t>Eagle Bend Solar - Architectural History Survey</t>
        </is>
      </c>
      <c r="C258" s="4" t="inlineStr">
        <is>
          <t>Cost Tracking on Closed Project</t>
        </is>
      </c>
      <c r="D258" s="4" t="inlineStr">
        <is>
          <t>Fixed fee</t>
        </is>
      </c>
      <c r="E258" s="4" t="inlineStr">
        <is>
          <t>High Desert</t>
        </is>
      </c>
      <c r="F258" s="4" t="inlineStr">
        <is>
          <t>Jody Wang</t>
        </is>
      </c>
      <c r="G258" s="5" t="n">
        <v>26300</v>
      </c>
      <c r="H258" s="5" t="n">
        <v>26300</v>
      </c>
      <c r="I258" s="5" t="n">
        <v>26300</v>
      </c>
      <c r="J258" s="5" t="n">
        <v>19575.09</v>
      </c>
      <c r="K258" s="5" t="n">
        <v>19575.09</v>
      </c>
      <c r="L258" s="5" t="n">
        <v>0</v>
      </c>
      <c r="M258" s="5" t="n">
        <v>22787.95</v>
      </c>
      <c r="N258" s="5" t="n">
        <v>-3212.860000000001</v>
      </c>
      <c r="O258" s="6" t="n">
        <v>1</v>
      </c>
      <c r="P258" s="6" t="n">
        <v>1.1641</v>
      </c>
    </row>
    <row r="259">
      <c r="A259" s="4" t="inlineStr">
        <is>
          <t>26-PC-37559</t>
        </is>
      </c>
      <c r="B259" s="4" t="inlineStr">
        <is>
          <t>Badger Hollow Paleontological Monitoring</t>
        </is>
      </c>
      <c r="C259" s="4" t="inlineStr">
        <is>
          <t>In Progress</t>
        </is>
      </c>
      <c r="D259" s="4" t="inlineStr">
        <is>
          <t>Time and material</t>
        </is>
      </c>
      <c r="E259" s="4" t="inlineStr">
        <is>
          <t>Piedmont</t>
        </is>
      </c>
      <c r="F259" s="4" t="inlineStr">
        <is>
          <t>Jody Chung</t>
        </is>
      </c>
      <c r="G259" s="5" t="n">
        <v>44300</v>
      </c>
      <c r="H259" s="5" t="n">
        <v>44300</v>
      </c>
      <c r="I259" s="5" t="n">
        <v>33494.39</v>
      </c>
      <c r="J259" s="5" t="n">
        <v>28024.18</v>
      </c>
      <c r="K259" s="5" t="n">
        <v>28024.18</v>
      </c>
      <c r="L259" s="5" t="n">
        <v>0</v>
      </c>
      <c r="M259" s="5" t="n">
        <v>45539.17</v>
      </c>
      <c r="N259" s="5" t="n">
        <v>-17514.99</v>
      </c>
      <c r="O259" s="6" t="n">
        <v>1</v>
      </c>
      <c r="P259" s="6" t="n">
        <v>1.625</v>
      </c>
    </row>
    <row r="260">
      <c r="A260" s="4" t="inlineStr">
        <is>
          <t>26-PC-37705</t>
        </is>
      </c>
      <c r="B260" s="4" t="inlineStr">
        <is>
          <t>On-Call: Silver Lake Canal Lining Curation</t>
        </is>
      </c>
      <c r="C260" s="4" t="inlineStr">
        <is>
          <t>In Progress</t>
        </is>
      </c>
      <c r="D260" s="4" t="inlineStr">
        <is>
          <t>Fixed fee</t>
        </is>
      </c>
      <c r="E260" s="4" t="inlineStr">
        <is>
          <t>Piedmont</t>
        </is>
      </c>
      <c r="F260" s="4" t="inlineStr">
        <is>
          <t>Jody Chung</t>
        </is>
      </c>
      <c r="G260" s="5" t="n">
        <v>40300</v>
      </c>
      <c r="H260" s="5" t="n">
        <v>31772.52</v>
      </c>
      <c r="I260" s="5" t="n">
        <v>24174.36</v>
      </c>
      <c r="J260" s="5" t="n">
        <v>32312.54</v>
      </c>
      <c r="K260" s="5" t="n">
        <v>32312.54</v>
      </c>
      <c r="L260" s="5" t="n">
        <v>0</v>
      </c>
      <c r="M260" s="5" t="n">
        <v>25475.14</v>
      </c>
      <c r="N260" s="5" t="n">
        <v>6837.400000000001</v>
      </c>
      <c r="O260" s="6" t="n">
        <v>0.788</v>
      </c>
      <c r="P260" s="6" t="n">
        <v>0.7884</v>
      </c>
    </row>
    <row r="261">
      <c r="A261" s="4" t="inlineStr">
        <is>
          <t>26-PC-37709</t>
        </is>
      </c>
      <c r="B261" s="4" t="inlineStr">
        <is>
          <t>Sage Flat Phase I Survey</t>
        </is>
      </c>
      <c r="C261" s="4" t="inlineStr">
        <is>
          <t>Final Reporting/Review</t>
        </is>
      </c>
      <c r="D261" s="4" t="inlineStr">
        <is>
          <t>Fixed fee</t>
        </is>
      </c>
      <c r="E261" s="4" t="inlineStr">
        <is>
          <t>Piedmont</t>
        </is>
      </c>
      <c r="F261" s="4" t="inlineStr">
        <is>
          <t>Maria Parrish</t>
        </is>
      </c>
      <c r="G261" s="5" t="n">
        <v>31500</v>
      </c>
      <c r="H261" s="5" t="n">
        <v>31500</v>
      </c>
      <c r="I261" s="5" t="n">
        <v>16533.22</v>
      </c>
      <c r="J261" s="5" t="n">
        <v>21725.55</v>
      </c>
      <c r="K261" s="5" t="n">
        <v>21725.55</v>
      </c>
      <c r="L261" s="5" t="n">
        <v>0</v>
      </c>
      <c r="M261" s="5" t="n">
        <v>30289.1</v>
      </c>
      <c r="N261" s="5" t="n">
        <v>-8563.549999999999</v>
      </c>
      <c r="O261" s="6" t="n">
        <v>1</v>
      </c>
      <c r="P261" s="6" t="n">
        <v>1.3942</v>
      </c>
    </row>
    <row r="262">
      <c r="A262" s="4" t="inlineStr">
        <is>
          <t>26-PC-37965</t>
        </is>
      </c>
      <c r="B262" s="4" t="inlineStr">
        <is>
          <t>Redbud Cultural Resources Assessment</t>
        </is>
      </c>
      <c r="C262" s="4" t="inlineStr">
        <is>
          <t>In Progress</t>
        </is>
      </c>
      <c r="D262" s="4" t="inlineStr">
        <is>
          <t>Time and material</t>
        </is>
      </c>
      <c r="E262" s="4" t="inlineStr">
        <is>
          <t>Piedmont</t>
        </is>
      </c>
      <c r="F262" s="4" t="inlineStr">
        <is>
          <t>Annette Vaughan</t>
        </is>
      </c>
      <c r="G262" s="5" t="n">
        <v>55400</v>
      </c>
      <c r="H262" s="5" t="n">
        <v>50946.25</v>
      </c>
      <c r="I262" s="5" t="n">
        <v>31520.73</v>
      </c>
      <c r="J262" s="5" t="n">
        <v>34625</v>
      </c>
      <c r="K262" s="5" t="n">
        <v>34625</v>
      </c>
      <c r="L262" s="5" t="n">
        <v>0</v>
      </c>
      <c r="M262" s="5" t="n">
        <v>31687.21</v>
      </c>
      <c r="N262" s="5" t="n">
        <v>2937.790000000001</v>
      </c>
      <c r="O262" s="6" t="n">
        <v>0.92</v>
      </c>
      <c r="P262" s="6" t="n">
        <v>0.9152</v>
      </c>
    </row>
    <row r="263">
      <c r="A263" s="4" t="inlineStr">
        <is>
          <t>26-PC-38410</t>
        </is>
      </c>
      <c r="B263" s="4" t="inlineStr">
        <is>
          <t>On-Call: Tamarack Park Improvements Class III Survey</t>
        </is>
      </c>
      <c r="C263" s="4" t="inlineStr">
        <is>
          <t>In Progress</t>
        </is>
      </c>
      <c r="D263" s="4" t="inlineStr">
        <is>
          <t>Time and material</t>
        </is>
      </c>
      <c r="E263" s="4" t="inlineStr">
        <is>
          <t>Prairie</t>
        </is>
      </c>
      <c r="F263" s="4" t="inlineStr">
        <is>
          <t>Sherry Lloyd</t>
        </is>
      </c>
      <c r="G263" s="5" t="n">
        <v>48300</v>
      </c>
      <c r="H263" s="5" t="n">
        <v>38345.25</v>
      </c>
      <c r="I263" s="5" t="n">
        <v>38154.33</v>
      </c>
      <c r="J263" s="5" t="n">
        <v>32887.47</v>
      </c>
      <c r="K263" s="5" t="n">
        <v>32887.47</v>
      </c>
      <c r="L263" s="5" t="n">
        <v>0</v>
      </c>
      <c r="M263" s="5" t="n">
        <v>24978.26</v>
      </c>
      <c r="N263" s="5" t="n">
        <v>7909.210000000003</v>
      </c>
      <c r="O263" s="6" t="n">
        <v>0.794</v>
      </c>
      <c r="P263" s="6" t="n">
        <v>0.7595</v>
      </c>
    </row>
    <row r="264">
      <c r="A264" s="4" t="inlineStr">
        <is>
          <t>26-PC-38624</t>
        </is>
      </c>
      <c r="B264" s="4" t="inlineStr">
        <is>
          <t>Juniper Wash Built Environment Survey</t>
        </is>
      </c>
      <c r="C264" s="4" t="inlineStr">
        <is>
          <t>Cost Tracking on Closed Project</t>
        </is>
      </c>
      <c r="D264" s="4" t="inlineStr">
        <is>
          <t>Fixed fee</t>
        </is>
      </c>
      <c r="E264" s="4" t="inlineStr">
        <is>
          <t>Red Rock</t>
        </is>
      </c>
      <c r="F264" s="4" t="inlineStr">
        <is>
          <t>Bruce Suarez</t>
        </is>
      </c>
      <c r="G264" s="5" t="n">
        <v>77900</v>
      </c>
      <c r="H264" s="5" t="n">
        <v>77900</v>
      </c>
      <c r="I264" s="5" t="n">
        <v>77900</v>
      </c>
      <c r="J264" s="5" t="n">
        <v>56578.77</v>
      </c>
      <c r="K264" s="5" t="n">
        <v>56578.77</v>
      </c>
      <c r="L264" s="5" t="n">
        <v>0</v>
      </c>
      <c r="M264" s="5" t="n">
        <v>73552.39999999999</v>
      </c>
      <c r="N264" s="5" t="n">
        <v>-16973.63</v>
      </c>
      <c r="O264" s="6" t="n">
        <v>1</v>
      </c>
      <c r="P264" s="6" t="n">
        <v>1.3</v>
      </c>
    </row>
    <row r="265">
      <c r="A265" s="4" t="inlineStr">
        <is>
          <t>26-PC-38737</t>
        </is>
      </c>
      <c r="B265" s="4" t="inlineStr">
        <is>
          <t>Pebble Beach Road Wind Farm Historic Resources Evaluation</t>
        </is>
      </c>
      <c r="C265" s="4" t="inlineStr">
        <is>
          <t>In Progress</t>
        </is>
      </c>
      <c r="D265" s="4" t="inlineStr">
        <is>
          <t>Time and material</t>
        </is>
      </c>
      <c r="E265" s="4" t="inlineStr">
        <is>
          <t>Red Rock</t>
        </is>
      </c>
      <c r="F265" s="4" t="inlineStr">
        <is>
          <t>Tina Aguirre</t>
        </is>
      </c>
      <c r="G265" s="5" t="n">
        <v>97700</v>
      </c>
      <c r="H265" s="5" t="n">
        <v>97700</v>
      </c>
      <c r="I265" s="5" t="n">
        <v>80334.37</v>
      </c>
      <c r="J265" s="5" t="n">
        <v>60828.02</v>
      </c>
      <c r="K265" s="5" t="n">
        <v>60828.02</v>
      </c>
      <c r="L265" s="5" t="n">
        <v>0</v>
      </c>
      <c r="M265" s="5" t="n">
        <v>76641.91</v>
      </c>
      <c r="N265" s="5" t="n">
        <v>-15813.89000000001</v>
      </c>
      <c r="O265" s="6" t="n">
        <v>1</v>
      </c>
      <c r="P265" s="6" t="n">
        <v>1.26</v>
      </c>
    </row>
    <row r="266">
      <c r="A266" s="4" t="inlineStr">
        <is>
          <t>26-PC-39165</t>
        </is>
      </c>
      <c r="B266" s="4" t="inlineStr">
        <is>
          <t>Pebble Beach Road Phase I Survey</t>
        </is>
      </c>
      <c r="C266" s="4" t="inlineStr">
        <is>
          <t>Final Reporting/Review</t>
        </is>
      </c>
      <c r="D266" s="4" t="inlineStr">
        <is>
          <t>Fixed fee</t>
        </is>
      </c>
      <c r="E266" s="4" t="inlineStr">
        <is>
          <t>Red Rock</t>
        </is>
      </c>
      <c r="F266" s="4" t="inlineStr">
        <is>
          <t>Tina Aguirre</t>
        </is>
      </c>
      <c r="G266" s="5" t="n">
        <v>94300</v>
      </c>
      <c r="H266" s="5" t="n">
        <v>87472.67999999999</v>
      </c>
      <c r="I266" s="5" t="n">
        <v>76455.85000000001</v>
      </c>
      <c r="J266" s="5" t="n">
        <v>63218.72</v>
      </c>
      <c r="K266" s="5" t="n">
        <v>63218.72</v>
      </c>
      <c r="L266" s="5" t="n">
        <v>0</v>
      </c>
      <c r="M266" s="5" t="n">
        <v>58643.27</v>
      </c>
      <c r="N266" s="5" t="n">
        <v>4575.450000000004</v>
      </c>
      <c r="O266" s="6" t="n">
        <v>0.928</v>
      </c>
      <c r="P266" s="6" t="n">
        <v>0.9276</v>
      </c>
    </row>
    <row r="267">
      <c r="A267" s="4" t="inlineStr">
        <is>
          <t>26-PC-39587</t>
        </is>
      </c>
      <c r="B267" s="4" t="inlineStr">
        <is>
          <t>Ember Valley Curation</t>
        </is>
      </c>
      <c r="C267" s="4" t="inlineStr">
        <is>
          <t>Cost Tracking on Closed Project</t>
        </is>
      </c>
      <c r="D267" s="4" t="inlineStr">
        <is>
          <t>Time and material</t>
        </is>
      </c>
      <c r="E267" s="4" t="inlineStr">
        <is>
          <t>Red Rock</t>
        </is>
      </c>
      <c r="F267" s="4" t="inlineStr">
        <is>
          <t>Javier Newman</t>
        </is>
      </c>
      <c r="G267" s="5" t="n">
        <v>288900</v>
      </c>
      <c r="H267" s="5" t="n">
        <v>0</v>
      </c>
      <c r="I267" s="5" t="n">
        <v>0</v>
      </c>
      <c r="J267" s="5" t="n">
        <v>211965.93</v>
      </c>
      <c r="K267" s="5" t="n">
        <v>211965.93</v>
      </c>
      <c r="L267" s="5" t="n">
        <v>0</v>
      </c>
      <c r="M267" s="5" t="n">
        <v>213449.22</v>
      </c>
      <c r="N267" s="5" t="n">
        <v>-1483.290000000008</v>
      </c>
      <c r="O267" s="6" t="n">
        <v>0</v>
      </c>
      <c r="P267" s="6" t="n">
        <v>1.007</v>
      </c>
    </row>
    <row r="268">
      <c r="A268" s="4" t="inlineStr">
        <is>
          <t>26-PC-39725</t>
        </is>
      </c>
      <c r="B268" s="4" t="inlineStr">
        <is>
          <t>Kestrel Butte Mine Expansion Cultural Resources Assessment</t>
        </is>
      </c>
      <c r="C268" s="4" t="inlineStr">
        <is>
          <t>Cost Tracking on Closed Project</t>
        </is>
      </c>
      <c r="D268" s="4" t="inlineStr">
        <is>
          <t>Fixed fee</t>
        </is>
      </c>
      <c r="E268" s="4" t="inlineStr">
        <is>
          <t>Red Rock</t>
        </is>
      </c>
      <c r="F268" s="4" t="inlineStr">
        <is>
          <t>Tina Aguirre</t>
        </is>
      </c>
      <c r="G268" s="5" t="n">
        <v>115900</v>
      </c>
      <c r="H268" s="5" t="n">
        <v>115900</v>
      </c>
      <c r="I268" s="5" t="n">
        <v>115900</v>
      </c>
      <c r="J268" s="5" t="n">
        <v>86530.94</v>
      </c>
      <c r="K268" s="5" t="n">
        <v>86530.94</v>
      </c>
      <c r="L268" s="5" t="n">
        <v>0</v>
      </c>
      <c r="M268" s="5" t="n">
        <v>99694.97</v>
      </c>
      <c r="N268" s="5" t="n">
        <v>-13164.03</v>
      </c>
      <c r="O268" s="6" t="n">
        <v>1</v>
      </c>
      <c r="P268" s="6" t="n">
        <v>1.1521</v>
      </c>
    </row>
    <row r="269">
      <c r="A269" s="4" t="inlineStr">
        <is>
          <t>26-PC-40334</t>
        </is>
      </c>
      <c r="B269" s="4" t="inlineStr">
        <is>
          <t>Stone Mill Airport Apron - Class III Survey</t>
        </is>
      </c>
      <c r="C269" s="4" t="inlineStr">
        <is>
          <t>In Progress</t>
        </is>
      </c>
      <c r="D269" s="4" t="inlineStr">
        <is>
          <t>Fixed fee</t>
        </is>
      </c>
      <c r="E269" s="4" t="inlineStr">
        <is>
          <t>Sierra North</t>
        </is>
      </c>
      <c r="F269" s="4" t="inlineStr">
        <is>
          <t>Donna Herring</t>
        </is>
      </c>
      <c r="G269" s="5" t="n">
        <v>96900</v>
      </c>
      <c r="H269" s="5" t="n">
        <v>96900</v>
      </c>
      <c r="I269" s="5" t="n">
        <v>90582.42999999999</v>
      </c>
      <c r="J269" s="5" t="n">
        <v>68401.71000000001</v>
      </c>
      <c r="K269" s="5" t="n">
        <v>68401.71000000001</v>
      </c>
      <c r="L269" s="5" t="n">
        <v>0</v>
      </c>
      <c r="M269" s="5" t="n">
        <v>75128.42999999999</v>
      </c>
      <c r="N269" s="5" t="n">
        <v>-6726.719999999987</v>
      </c>
      <c r="O269" s="6" t="n">
        <v>1</v>
      </c>
      <c r="P269" s="6" t="n">
        <v>1.0983</v>
      </c>
    </row>
    <row r="270">
      <c r="A270" s="4" t="inlineStr">
        <is>
          <t>26-PC-40344</t>
        </is>
      </c>
      <c r="B270" s="4" t="inlineStr">
        <is>
          <t>Tansy Flat Housing Development - Archaeological Testing</t>
        </is>
      </c>
      <c r="C270" s="4" t="inlineStr">
        <is>
          <t>Final Reporting/Review</t>
        </is>
      </c>
      <c r="D270" s="4" t="inlineStr">
        <is>
          <t>Fixed fee</t>
        </is>
      </c>
      <c r="E270" s="4" t="inlineStr">
        <is>
          <t>Sierra</t>
        </is>
      </c>
      <c r="F270" s="4" t="inlineStr">
        <is>
          <t>Louis Huff</t>
        </is>
      </c>
      <c r="G270" s="5" t="n">
        <v>19200</v>
      </c>
      <c r="H270" s="5" t="n">
        <v>19200</v>
      </c>
      <c r="I270" s="5" t="n">
        <v>16759.26</v>
      </c>
      <c r="J270" s="5" t="n">
        <v>14098.56</v>
      </c>
      <c r="K270" s="5" t="n">
        <v>14098.56</v>
      </c>
      <c r="L270" s="5" t="n">
        <v>0</v>
      </c>
      <c r="M270" s="5" t="n">
        <v>18399.82</v>
      </c>
      <c r="N270" s="5" t="n">
        <v>-4301.26</v>
      </c>
      <c r="O270" s="6" t="n">
        <v>1</v>
      </c>
      <c r="P270" s="6" t="n">
        <v>1.3051</v>
      </c>
    </row>
    <row r="271">
      <c r="A271" s="4" t="inlineStr">
        <is>
          <t>26-PC-40361</t>
        </is>
      </c>
      <c r="B271" s="4" t="inlineStr">
        <is>
          <t>Sea Oat Cultural Resources Assessment</t>
        </is>
      </c>
      <c r="C271" s="4" t="inlineStr">
        <is>
          <t>In Progress</t>
        </is>
      </c>
      <c r="D271" s="4" t="inlineStr">
        <is>
          <t>Fixed fee</t>
        </is>
      </c>
      <c r="E271" s="4" t="inlineStr">
        <is>
          <t>Sierra</t>
        </is>
      </c>
      <c r="F271" s="4" t="inlineStr">
        <is>
          <t>Donna Herring</t>
        </is>
      </c>
      <c r="G271" s="5" t="n">
        <v>156300</v>
      </c>
      <c r="H271" s="5" t="n">
        <v>117897.09</v>
      </c>
      <c r="I271" s="5" t="n">
        <v>95830.05</v>
      </c>
      <c r="J271" s="5" t="n">
        <v>102829.77</v>
      </c>
      <c r="K271" s="5" t="n">
        <v>102829.77</v>
      </c>
      <c r="L271" s="5" t="n">
        <v>0</v>
      </c>
      <c r="M271" s="5" t="n">
        <v>77565.49000000001</v>
      </c>
      <c r="N271" s="5" t="n">
        <v>25264.28</v>
      </c>
      <c r="O271" s="6" t="n">
        <v>0.754</v>
      </c>
      <c r="P271" s="6" t="n">
        <v>0.7543</v>
      </c>
    </row>
    <row r="272">
      <c r="A272" s="4" t="inlineStr">
        <is>
          <t>26-PC-40422</t>
        </is>
      </c>
      <c r="B272" s="4" t="inlineStr">
        <is>
          <t>Oak Terrace Mixed-Use Development - Architectural History Survey</t>
        </is>
      </c>
      <c r="C272" s="4" t="inlineStr">
        <is>
          <t>Final Reporting/Review</t>
        </is>
      </c>
      <c r="D272" s="4" t="inlineStr">
        <is>
          <t>Fixed fee</t>
        </is>
      </c>
      <c r="E272" s="4" t="inlineStr">
        <is>
          <t>Sierra South</t>
        </is>
      </c>
      <c r="F272" s="4" t="inlineStr">
        <is>
          <t>Donna Herring</t>
        </is>
      </c>
      <c r="G272" s="5" t="n">
        <v>5900</v>
      </c>
      <c r="H272" s="5" t="n">
        <v>5900</v>
      </c>
      <c r="I272" s="5" t="n">
        <v>5708.22</v>
      </c>
      <c r="J272" s="5" t="n">
        <v>4379.73</v>
      </c>
      <c r="K272" s="5" t="n">
        <v>3449.54</v>
      </c>
      <c r="L272" s="5" t="n">
        <v>930.1900000000001</v>
      </c>
      <c r="M272" s="5" t="n">
        <v>8489.9</v>
      </c>
      <c r="N272" s="5" t="n">
        <v>-4110.17</v>
      </c>
      <c r="O272" s="6" t="n">
        <v>1</v>
      </c>
      <c r="P272" s="6" t="n">
        <v>1.9385</v>
      </c>
    </row>
    <row r="273">
      <c r="A273" s="4" t="inlineStr">
        <is>
          <t>26-PC-40464</t>
        </is>
      </c>
      <c r="B273" s="4" t="inlineStr">
        <is>
          <t>Slate Ridge Trail - Paleontological Monitoring</t>
        </is>
      </c>
      <c r="C273" s="4" t="inlineStr">
        <is>
          <t>In Progress</t>
        </is>
      </c>
      <c r="D273" s="4" t="inlineStr">
        <is>
          <t>Fixed fee</t>
        </is>
      </c>
      <c r="E273" s="4" t="inlineStr">
        <is>
          <t>Sierra North</t>
        </is>
      </c>
      <c r="F273" s="4" t="inlineStr">
        <is>
          <t>Donna Herring</t>
        </is>
      </c>
      <c r="G273" s="5" t="n">
        <v>7500</v>
      </c>
      <c r="H273" s="5" t="n">
        <v>7500</v>
      </c>
      <c r="I273" s="5" t="n">
        <v>7376.17</v>
      </c>
      <c r="J273" s="5" t="n">
        <v>5493</v>
      </c>
      <c r="K273" s="5" t="n">
        <v>5493</v>
      </c>
      <c r="L273" s="5" t="n">
        <v>0</v>
      </c>
      <c r="M273" s="5" t="n">
        <v>8125.76</v>
      </c>
      <c r="N273" s="5" t="n">
        <v>-2632.76</v>
      </c>
      <c r="O273" s="6" t="n">
        <v>1</v>
      </c>
      <c r="P273" s="6" t="n">
        <v>1.4793</v>
      </c>
    </row>
    <row r="274">
      <c r="A274" s="4" t="inlineStr">
        <is>
          <t>26-PC-41130</t>
        </is>
      </c>
      <c r="B274" s="4" t="inlineStr">
        <is>
          <t>Harbor View Highway Widening Data Recovery</t>
        </is>
      </c>
      <c r="C274" s="4" t="inlineStr">
        <is>
          <t>Cost Tracking on Closed Project</t>
        </is>
      </c>
      <c r="D274" s="4" t="inlineStr">
        <is>
          <t>Time and material</t>
        </is>
      </c>
      <c r="E274" s="4" t="inlineStr">
        <is>
          <t>Coastal Bend</t>
        </is>
      </c>
      <c r="F274" s="4" t="inlineStr">
        <is>
          <t>Steve Rubio</t>
        </is>
      </c>
      <c r="G274" s="5" t="n">
        <v>290300</v>
      </c>
      <c r="H274" s="5" t="n">
        <v>0</v>
      </c>
      <c r="I274" s="5" t="n">
        <v>0</v>
      </c>
      <c r="J274" s="5" t="n">
        <v>219699.04</v>
      </c>
      <c r="K274" s="5" t="n">
        <v>219699.04</v>
      </c>
      <c r="L274" s="5" t="n">
        <v>0</v>
      </c>
      <c r="M274" s="5" t="n">
        <v>201136.18</v>
      </c>
      <c r="N274" s="5" t="n">
        <v>18562.86000000002</v>
      </c>
      <c r="O274" s="6" t="n">
        <v>0</v>
      </c>
      <c r="P274" s="6" t="n">
        <v>0.9155</v>
      </c>
    </row>
    <row r="275">
      <c r="A275" s="4" t="inlineStr">
        <is>
          <t>26-PC-41202</t>
        </is>
      </c>
      <c r="B275" s="4" t="inlineStr">
        <is>
          <t>Quail Run Bridge Replacement Phase I Survey</t>
        </is>
      </c>
      <c r="C275" s="4" t="inlineStr">
        <is>
          <t>In Progress</t>
        </is>
      </c>
      <c r="D275" s="4" t="inlineStr">
        <is>
          <t>Fixed fee</t>
        </is>
      </c>
      <c r="E275" s="4" t="inlineStr">
        <is>
          <t>Coastal Bend</t>
        </is>
      </c>
      <c r="F275" s="4" t="inlineStr">
        <is>
          <t>Jared Choi</t>
        </is>
      </c>
      <c r="G275" s="5" t="n">
        <v>41400</v>
      </c>
      <c r="H275" s="5" t="n">
        <v>41400</v>
      </c>
      <c r="I275" s="5" t="n">
        <v>41400</v>
      </c>
      <c r="J275" s="5" t="n">
        <v>27278.33</v>
      </c>
      <c r="K275" s="5" t="n">
        <v>19877.52</v>
      </c>
      <c r="L275" s="5" t="n">
        <v>7400.81</v>
      </c>
      <c r="M275" s="5" t="n">
        <v>30232.83</v>
      </c>
      <c r="N275" s="5" t="n">
        <v>-2954.5</v>
      </c>
      <c r="O275" s="6" t="n">
        <v>1</v>
      </c>
      <c r="P275" s="6" t="n">
        <v>1.1083</v>
      </c>
    </row>
    <row r="276">
      <c r="A276" s="4" t="inlineStr">
        <is>
          <t>26-PC-41661</t>
        </is>
      </c>
      <c r="B276" s="4" t="inlineStr">
        <is>
          <t>Ember Valley Levee Repair Data Recovery</t>
        </is>
      </c>
      <c r="C276" s="4" t="inlineStr">
        <is>
          <t>In Progress</t>
        </is>
      </c>
      <c r="D276" s="4" t="inlineStr">
        <is>
          <t>Fixed fee</t>
        </is>
      </c>
      <c r="E276" s="4" t="inlineStr">
        <is>
          <t>Coastal Bend</t>
        </is>
      </c>
      <c r="F276" s="4" t="inlineStr">
        <is>
          <t>Diane Daniels</t>
        </is>
      </c>
      <c r="G276" s="5" t="n">
        <v>4800</v>
      </c>
      <c r="H276" s="5" t="n">
        <v>4800</v>
      </c>
      <c r="I276" s="5" t="n">
        <v>1827.9</v>
      </c>
      <c r="J276" s="5" t="n">
        <v>4028.16</v>
      </c>
      <c r="K276" s="5" t="n">
        <v>4028.16</v>
      </c>
      <c r="L276" s="5" t="n">
        <v>0</v>
      </c>
      <c r="M276" s="5" t="n">
        <v>4393.64</v>
      </c>
      <c r="N276" s="5" t="n">
        <v>-365.4800000000005</v>
      </c>
      <c r="O276" s="6" t="n">
        <v>1</v>
      </c>
      <c r="P276" s="6" t="n">
        <v>1.0907</v>
      </c>
    </row>
    <row r="277">
      <c r="A277" s="4" t="inlineStr">
        <is>
          <t>26-PC-42757</t>
        </is>
      </c>
      <c r="B277" s="4" t="inlineStr">
        <is>
          <t>Task Order 4: Tansy Flat Wind Farm Archaeological Testing</t>
        </is>
      </c>
      <c r="C277" s="4" t="inlineStr">
        <is>
          <t>In Progress</t>
        </is>
      </c>
      <c r="D277" s="4" t="inlineStr">
        <is>
          <t>Fixed fee</t>
        </is>
      </c>
      <c r="E277" s="4" t="inlineStr">
        <is>
          <t>Maritime</t>
        </is>
      </c>
      <c r="F277" s="4" t="inlineStr">
        <is>
          <t>Kyle Maynard</t>
        </is>
      </c>
      <c r="G277" s="5" t="n">
        <v>347000</v>
      </c>
      <c r="H277" s="5" t="n">
        <v>252477.2</v>
      </c>
      <c r="I277" s="5" t="n">
        <v>226595.93</v>
      </c>
      <c r="J277" s="5" t="n">
        <v>256363.6</v>
      </c>
      <c r="K277" s="5" t="n">
        <v>256363.6</v>
      </c>
      <c r="L277" s="5" t="n">
        <v>0</v>
      </c>
      <c r="M277" s="5" t="n">
        <v>186528.08</v>
      </c>
      <c r="N277" s="5" t="n">
        <v>69835.52000000002</v>
      </c>
      <c r="O277" s="6" t="n">
        <v>0.728</v>
      </c>
      <c r="P277" s="6" t="n">
        <v>0.7276</v>
      </c>
    </row>
    <row r="278">
      <c r="A278" s="4" t="inlineStr">
        <is>
          <t>26-PC-43039</t>
        </is>
      </c>
      <c r="B278" s="4" t="inlineStr">
        <is>
          <t>On-Call: Foxglove Reservoir Phase I Survey</t>
        </is>
      </c>
      <c r="C278" s="4" t="inlineStr">
        <is>
          <t>Final Reporting/Review</t>
        </is>
      </c>
      <c r="D278" s="4" t="inlineStr">
        <is>
          <t>Time and material</t>
        </is>
      </c>
      <c r="E278" s="4" t="inlineStr">
        <is>
          <t>Geospatial</t>
        </is>
      </c>
      <c r="F278" s="4" t="inlineStr">
        <is>
          <t>Sylvia Callahan</t>
        </is>
      </c>
      <c r="G278" s="5" t="n">
        <v>107600</v>
      </c>
      <c r="H278" s="5" t="n">
        <v>107600</v>
      </c>
      <c r="I278" s="5" t="n">
        <v>99262.67</v>
      </c>
      <c r="J278" s="5" t="n">
        <v>77827.42999999999</v>
      </c>
      <c r="K278" s="5" t="n">
        <v>68885.46000000001</v>
      </c>
      <c r="L278" s="5" t="n">
        <v>8941.969999999999</v>
      </c>
      <c r="M278" s="5" t="n">
        <v>89098.75</v>
      </c>
      <c r="N278" s="5" t="n">
        <v>-11271.32000000001</v>
      </c>
      <c r="O278" s="6" t="n">
        <v>1</v>
      </c>
      <c r="P278" s="6" t="n">
        <v>1.1448</v>
      </c>
    </row>
    <row r="279">
      <c r="A279" s="4" t="inlineStr">
        <is>
          <t>26-PC-43199</t>
        </is>
      </c>
      <c r="B279" s="4" t="inlineStr">
        <is>
          <t>Thistle Down Airport Apron Phase I Survey</t>
        </is>
      </c>
      <c r="C279" s="4" t="inlineStr">
        <is>
          <t>Cost Tracking on Closed Project</t>
        </is>
      </c>
      <c r="D279" s="4" t="inlineStr">
        <is>
          <t>Fixed fee</t>
        </is>
      </c>
      <c r="E279" s="4" t="inlineStr">
        <is>
          <t>Meridian Central</t>
        </is>
      </c>
      <c r="F279" s="4" t="inlineStr">
        <is>
          <t>Mathew Shea</t>
        </is>
      </c>
      <c r="G279" s="5" t="n">
        <v>42200</v>
      </c>
      <c r="H279" s="5" t="n">
        <v>38937.94</v>
      </c>
      <c r="I279" s="5" t="n">
        <v>38937.94</v>
      </c>
      <c r="J279" s="5" t="n">
        <v>26341.24</v>
      </c>
      <c r="K279" s="5" t="n">
        <v>26341.24</v>
      </c>
      <c r="L279" s="5" t="n">
        <v>0</v>
      </c>
      <c r="M279" s="5" t="n">
        <v>24305.56</v>
      </c>
      <c r="N279" s="5" t="n">
        <v>2035.68</v>
      </c>
      <c r="O279" s="6" t="n">
        <v>0.923</v>
      </c>
      <c r="P279" s="6" t="n">
        <v>0.9227</v>
      </c>
    </row>
    <row r="280">
      <c r="A280" s="4" t="inlineStr">
        <is>
          <t>26-PC-43329</t>
        </is>
      </c>
      <c r="B280" s="4" t="inlineStr">
        <is>
          <t>Sumac Ridge Cell Tower Built Environment Survey</t>
        </is>
      </c>
      <c r="C280" s="4" t="inlineStr">
        <is>
          <t>In Progress</t>
        </is>
      </c>
      <c r="D280" s="4" t="inlineStr">
        <is>
          <t>Fixed fee</t>
        </is>
      </c>
      <c r="E280" s="4" t="inlineStr">
        <is>
          <t>Meridian Central</t>
        </is>
      </c>
      <c r="F280" s="4" t="inlineStr">
        <is>
          <t>Mathew Shea</t>
        </is>
      </c>
      <c r="G280" s="5" t="n">
        <v>41200</v>
      </c>
      <c r="H280" s="5" t="n">
        <v>30945.32</v>
      </c>
      <c r="I280" s="5" t="n">
        <v>29998.17</v>
      </c>
      <c r="J280" s="5" t="n">
        <v>27426.84</v>
      </c>
      <c r="K280" s="5" t="n">
        <v>27426.84</v>
      </c>
      <c r="L280" s="5" t="n">
        <v>0</v>
      </c>
      <c r="M280" s="5" t="n">
        <v>20599.46</v>
      </c>
      <c r="N280" s="5" t="n">
        <v>6827.380000000001</v>
      </c>
      <c r="O280" s="6" t="n">
        <v>0.751</v>
      </c>
      <c r="P280" s="6" t="n">
        <v>0.7511</v>
      </c>
    </row>
    <row r="281">
      <c r="A281" s="4" t="inlineStr">
        <is>
          <t>26-PC-43364</t>
        </is>
      </c>
      <c r="B281" s="4" t="inlineStr">
        <is>
          <t>Goldfinch Class III Survey</t>
        </is>
      </c>
      <c r="C281" s="4" t="inlineStr">
        <is>
          <t>Transferred Entity</t>
        </is>
      </c>
      <c r="D281" s="4" t="inlineStr">
        <is>
          <t>Fixed fee</t>
        </is>
      </c>
      <c r="E281" s="4" t="inlineStr">
        <is>
          <t>Meridian Central</t>
        </is>
      </c>
      <c r="F281" s="4" t="inlineStr">
        <is>
          <t>Raymond Hensley</t>
        </is>
      </c>
      <c r="G281" s="5" t="n">
        <v>24900</v>
      </c>
      <c r="H281" s="5" t="n">
        <v>24900</v>
      </c>
      <c r="I281" s="5" t="n">
        <v>23821.32</v>
      </c>
      <c r="J281" s="5" t="n">
        <v>16624.07</v>
      </c>
      <c r="K281" s="5" t="n">
        <v>15142.4</v>
      </c>
      <c r="L281" s="5" t="n">
        <v>1481.67</v>
      </c>
      <c r="M281" s="5" t="n">
        <v>22825.96</v>
      </c>
      <c r="N281" s="5" t="n">
        <v>-6201.889999999999</v>
      </c>
      <c r="O281" s="6" t="n">
        <v>1</v>
      </c>
      <c r="P281" s="6" t="n">
        <v>1.3731</v>
      </c>
    </row>
    <row r="282">
      <c r="A282" s="4" t="inlineStr">
        <is>
          <t>26-PC-43546</t>
        </is>
      </c>
      <c r="B282" s="4" t="inlineStr">
        <is>
          <t>Stone Mill Wastewater Plant - GIS Mapping</t>
        </is>
      </c>
      <c r="C282" s="4" t="inlineStr">
        <is>
          <t>In Progress</t>
        </is>
      </c>
      <c r="D282" s="4" t="inlineStr">
        <is>
          <t>Fixed fee</t>
        </is>
      </c>
      <c r="E282" s="4" t="inlineStr">
        <is>
          <t>Meridian Central</t>
        </is>
      </c>
      <c r="F282" s="4" t="inlineStr">
        <is>
          <t>Clinton Solis</t>
        </is>
      </c>
      <c r="G282" s="5" t="n">
        <v>136900</v>
      </c>
      <c r="H282" s="5" t="n">
        <v>131026.99</v>
      </c>
      <c r="I282" s="5" t="n">
        <v>130552.64</v>
      </c>
      <c r="J282" s="5" t="n">
        <v>105043.37</v>
      </c>
      <c r="K282" s="5" t="n">
        <v>105043.37</v>
      </c>
      <c r="L282" s="5" t="n">
        <v>0</v>
      </c>
      <c r="M282" s="5" t="n">
        <v>100533.21</v>
      </c>
      <c r="N282" s="5" t="n">
        <v>4510.159999999989</v>
      </c>
      <c r="O282" s="6" t="n">
        <v>0.957</v>
      </c>
      <c r="P282" s="6" t="n">
        <v>0.9571</v>
      </c>
    </row>
    <row r="283">
      <c r="A283" s="4" t="inlineStr">
        <is>
          <t>26-PC-43986</t>
        </is>
      </c>
      <c r="B283" s="4" t="inlineStr">
        <is>
          <t>Sage Flat Airport Apron Architectural History Survey</t>
        </is>
      </c>
      <c r="C283" s="4" t="inlineStr">
        <is>
          <t>Transferred Entity</t>
        </is>
      </c>
      <c r="D283" s="4" t="inlineStr">
        <is>
          <t>Time and material</t>
        </is>
      </c>
      <c r="E283" s="4" t="inlineStr">
        <is>
          <t>NH Gulf (USD)</t>
        </is>
      </c>
      <c r="F283" s="4" t="inlineStr">
        <is>
          <t>Justin Mejia</t>
        </is>
      </c>
      <c r="G283" s="5" t="n">
        <v>220800</v>
      </c>
      <c r="H283" s="5" t="n">
        <v>218771.2506666667</v>
      </c>
      <c r="I283" s="5" t="n">
        <v>195354</v>
      </c>
      <c r="J283" s="5" t="n">
        <v>146699.52</v>
      </c>
      <c r="K283" s="5" t="n">
        <v>146699.52</v>
      </c>
      <c r="L283" s="5" t="n">
        <v>0</v>
      </c>
      <c r="M283" s="5" t="n">
        <v>136849.0806666667</v>
      </c>
      <c r="N283" s="5" t="n">
        <v>9850.439333333314</v>
      </c>
      <c r="O283" s="6" t="n">
        <v>0.9908118236714976</v>
      </c>
      <c r="P283" s="6" t="n">
        <v>0.9328529545745391</v>
      </c>
    </row>
    <row r="284">
      <c r="A284" s="4" t="inlineStr">
        <is>
          <t>25-PC-44140</t>
        </is>
      </c>
      <c r="B284" s="4" t="inlineStr">
        <is>
          <t>Stone Mill Archaeological Testing</t>
        </is>
      </c>
      <c r="C284" s="4" t="inlineStr">
        <is>
          <t>In Progress</t>
        </is>
      </c>
      <c r="D284" s="4" t="inlineStr">
        <is>
          <t>Fixed fee</t>
        </is>
      </c>
      <c r="E284" s="4" t="inlineStr">
        <is>
          <t>NH Gulf</t>
        </is>
      </c>
      <c r="F284" s="4" t="inlineStr">
        <is>
          <t>Tonya Spence</t>
        </is>
      </c>
      <c r="G284" s="5" t="n">
        <v>149900</v>
      </c>
      <c r="H284" s="5" t="n">
        <v>149510.2586666667</v>
      </c>
      <c r="I284" s="5" t="n">
        <v>130809.0506666667</v>
      </c>
      <c r="J284" s="5" t="n">
        <v>100298.0906666667</v>
      </c>
      <c r="K284" s="5" t="n">
        <v>100298.0906666667</v>
      </c>
      <c r="L284" s="5" t="n">
        <v>0</v>
      </c>
      <c r="M284" s="5" t="n">
        <v>100035.4533333333</v>
      </c>
      <c r="N284" s="5" t="n">
        <v>262.6373333333322</v>
      </c>
      <c r="O284" s="6" t="n">
        <v>0.9973999911051812</v>
      </c>
      <c r="P284" s="6" t="n">
        <v>0.997381432372365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7" customWidth="1" min="3" max="3"/>
    <col width="16" customWidth="1" min="4" max="4"/>
    <col width="16" customWidth="1" min="5" max="5"/>
    <col width="22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2" customWidth="1" min="15" max="15"/>
    <col width="12" customWidth="1" min="16" max="16"/>
  </cols>
  <sheetData>
    <row r="1">
      <c r="D1" s="1" t="inlineStr">
        <is>
          <t>Summary:</t>
        </is>
      </c>
    </row>
    <row r="2">
      <c r="D2" s="7" t="inlineStr">
        <is>
          <t>Removed projects with ETC&gt;1% budget remaining</t>
        </is>
      </c>
    </row>
    <row r="3">
      <c r="D3" s="7" t="inlineStr">
        <is>
          <t>Removed $0 Contract Value projects</t>
        </is>
      </c>
    </row>
    <row r="4">
      <c r="D4" s="7" t="inlineStr">
        <is>
          <t>Removed previously identified ETC in final/reportingstatus</t>
        </is>
      </c>
    </row>
    <row r="5">
      <c r="D5" s="7" t="inlineStr">
        <is>
          <t>Removed projects in final reporting with &gt;10% budget remaining</t>
        </is>
      </c>
    </row>
    <row r="6">
      <c r="D6" s="8" t="inlineStr">
        <is>
          <t>Total: 105</t>
        </is>
      </c>
    </row>
    <row r="7"/>
    <row r="8">
      <c r="G8" s="2" t="inlineStr">
        <is>
          <t>Contract Value</t>
        </is>
      </c>
      <c r="H8" s="2" t="inlineStr">
        <is>
          <t>Revenue</t>
        </is>
      </c>
      <c r="I8" s="2" t="inlineStr">
        <is>
          <t>Invoiced Amount</t>
        </is>
      </c>
      <c r="J8" s="2" t="inlineStr">
        <is>
          <t>Total Revised Budget</t>
        </is>
      </c>
      <c r="K8" s="2" t="inlineStr">
        <is>
          <t>Total Budget</t>
        </is>
      </c>
      <c r="L8" s="2" t="inlineStr">
        <is>
          <t>Total Budget Adjustment</t>
        </is>
      </c>
      <c r="M8" s="2" t="inlineStr">
        <is>
          <t>Total Costs</t>
        </is>
      </c>
      <c r="O8" s="2" t="inlineStr">
        <is>
          <t>Recognized %</t>
        </is>
      </c>
    </row>
    <row r="9">
      <c r="G9" s="2" t="inlineStr">
        <is>
          <t>Inception To Date</t>
        </is>
      </c>
      <c r="H9" s="2" t="inlineStr">
        <is>
          <t>Inception To Date</t>
        </is>
      </c>
      <c r="I9" s="2" t="inlineStr">
        <is>
          <t>Inception To Date</t>
        </is>
      </c>
      <c r="J9" s="2" t="inlineStr">
        <is>
          <t>Orig Budget + Adjustments</t>
        </is>
      </c>
      <c r="K9" s="2" t="inlineStr">
        <is>
          <t>Original</t>
        </is>
      </c>
      <c r="L9" s="2" t="inlineStr">
        <is>
          <t>ETC</t>
        </is>
      </c>
      <c r="M9" s="2" t="inlineStr">
        <is>
          <t>Inception To Date</t>
        </is>
      </c>
      <c r="N9" s="2" t="inlineStr">
        <is>
          <t>Inception To Date</t>
        </is>
      </c>
      <c r="O9" s="2" t="inlineStr">
        <is>
          <t>REV REC %</t>
        </is>
      </c>
      <c r="P9" s="2" t="inlineStr">
        <is>
          <t>Budget Spent %</t>
        </is>
      </c>
    </row>
    <row r="10">
      <c r="G10" s="2" t="inlineStr">
        <is>
          <t>September 29, 2026</t>
        </is>
      </c>
      <c r="H10" s="2" t="inlineStr">
        <is>
          <t>September 29, 2026</t>
        </is>
      </c>
      <c r="I10" s="2" t="inlineStr">
        <is>
          <t>September 29, 2026</t>
        </is>
      </c>
      <c r="J10" s="2" t="inlineStr">
        <is>
          <t>September 29, 2026</t>
        </is>
      </c>
      <c r="K10" s="2" t="inlineStr">
        <is>
          <t>September 29, 2026</t>
        </is>
      </c>
      <c r="L10" s="2" t="inlineStr">
        <is>
          <t>September 29, 2026</t>
        </is>
      </c>
      <c r="M10" s="2" t="inlineStr">
        <is>
          <t>September 29, 2026</t>
        </is>
      </c>
      <c r="N10" s="2" t="inlineStr">
        <is>
          <t>September 29, 2026</t>
        </is>
      </c>
      <c r="O10" s="2" t="inlineStr">
        <is>
          <t>September 29, 2026</t>
        </is>
      </c>
    </row>
    <row r="11">
      <c r="A11" s="3" t="inlineStr"/>
      <c r="B11" s="3" t="inlineStr">
        <is>
          <t>Dimension name</t>
        </is>
      </c>
      <c r="C11" s="3" t="inlineStr">
        <is>
          <t>Project status</t>
        </is>
      </c>
      <c r="D11" s="3" t="inlineStr">
        <is>
          <t>Project Billing type</t>
        </is>
      </c>
      <c r="E11" s="3" t="inlineStr">
        <is>
          <t>Location Name</t>
        </is>
      </c>
      <c r="F11" s="3" t="inlineStr">
        <is>
          <t>Project Manager Name</t>
        </is>
      </c>
      <c r="G11" s="3" t="inlineStr">
        <is>
          <t>EOP</t>
        </is>
      </c>
      <c r="H11" s="3" t="inlineStr">
        <is>
          <t>Actual</t>
        </is>
      </c>
      <c r="I11" s="3" t="inlineStr">
        <is>
          <t>Actual</t>
        </is>
      </c>
      <c r="J11" s="3" t="inlineStr">
        <is>
          <t>Actual</t>
        </is>
      </c>
      <c r="K11" s="3" t="inlineStr">
        <is>
          <t>Actual</t>
        </is>
      </c>
      <c r="L11" s="3" t="inlineStr">
        <is>
          <t>Actual</t>
        </is>
      </c>
      <c r="M11" s="3" t="inlineStr">
        <is>
          <t>Actual</t>
        </is>
      </c>
      <c r="N11" s="3" t="inlineStr">
        <is>
          <t>Remaining Budget</t>
        </is>
      </c>
      <c r="O11" s="3" t="inlineStr">
        <is>
          <t>Actual</t>
        </is>
      </c>
      <c r="P11" s="3" t="inlineStr">
        <is>
          <t>Summary</t>
        </is>
      </c>
    </row>
    <row r="12">
      <c r="A12" s="4" t="inlineStr">
        <is>
          <t>23-PC-30881</t>
        </is>
      </c>
      <c r="B12" s="4" t="inlineStr">
        <is>
          <t>Dove Canyon Mixed-Use Development Archaeological Testing</t>
        </is>
      </c>
      <c r="C12" s="4" t="inlineStr">
        <is>
          <t>Cost Tracking on Closed Project</t>
        </is>
      </c>
      <c r="D12" s="4" t="inlineStr">
        <is>
          <t>Time and material</t>
        </is>
      </c>
      <c r="E12" s="4" t="inlineStr">
        <is>
          <t>Bluegrass</t>
        </is>
      </c>
      <c r="F12" s="4" t="inlineStr">
        <is>
          <t>Alice Galloway</t>
        </is>
      </c>
      <c r="G12" s="5" t="n">
        <v>86200</v>
      </c>
      <c r="H12" s="5" t="n">
        <v>58616</v>
      </c>
      <c r="I12" s="5" t="n">
        <v>58616</v>
      </c>
      <c r="J12" s="5" t="n">
        <v>58650.48</v>
      </c>
      <c r="K12" s="5" t="n">
        <v>58650.48</v>
      </c>
      <c r="L12" s="5" t="n">
        <v>0</v>
      </c>
      <c r="M12" s="5" t="n">
        <v>61318.15</v>
      </c>
      <c r="N12" s="5" t="n">
        <v>-2667.669999999998</v>
      </c>
      <c r="O12" s="6" t="n">
        <v>0.68</v>
      </c>
      <c r="P12" s="6" t="n">
        <v>1.0455</v>
      </c>
    </row>
    <row r="13">
      <c r="A13" s="4" t="inlineStr">
        <is>
          <t>23-PC-31374</t>
        </is>
      </c>
      <c r="B13" s="4" t="inlineStr">
        <is>
          <t>Juniper Wash Canal Lining Environmental Review Support</t>
        </is>
      </c>
      <c r="C13" s="4" t="inlineStr">
        <is>
          <t>In Progress</t>
        </is>
      </c>
      <c r="D13" s="4" t="inlineStr">
        <is>
          <t>Time and material</t>
        </is>
      </c>
      <c r="E13" s="4" t="inlineStr">
        <is>
          <t>Cascade</t>
        </is>
      </c>
      <c r="F13" s="4" t="inlineStr">
        <is>
          <t>Donald Lutz</t>
        </is>
      </c>
      <c r="G13" s="5" t="n">
        <v>255700</v>
      </c>
      <c r="H13" s="5" t="n">
        <v>173876</v>
      </c>
      <c r="I13" s="5" t="n">
        <v>173876</v>
      </c>
      <c r="J13" s="5" t="n">
        <v>168225.03</v>
      </c>
      <c r="K13" s="5" t="n">
        <v>168225.03</v>
      </c>
      <c r="L13" s="5" t="n">
        <v>0</v>
      </c>
      <c r="M13" s="5" t="n">
        <v>202903.45</v>
      </c>
      <c r="N13" s="5" t="n">
        <v>-34678.42000000001</v>
      </c>
      <c r="O13" s="6" t="n">
        <v>0.68</v>
      </c>
      <c r="P13" s="6" t="n">
        <v>1.2061</v>
      </c>
    </row>
    <row r="14">
      <c r="A14" s="4" t="inlineStr">
        <is>
          <t>23-PC-31844</t>
        </is>
      </c>
      <c r="B14" s="4" t="inlineStr">
        <is>
          <t>Task Order 37: Sea Oat Water Main Archaeological Testing</t>
        </is>
      </c>
      <c r="C14" s="4" t="inlineStr">
        <is>
          <t>Cost Tracking on Closed Project</t>
        </is>
      </c>
      <c r="D14" s="4" t="inlineStr">
        <is>
          <t>Fixed fee</t>
        </is>
      </c>
      <c r="E14" s="4" t="inlineStr">
        <is>
          <t>Cascade</t>
        </is>
      </c>
      <c r="F14" s="4" t="inlineStr">
        <is>
          <t>Jeff Spence</t>
        </is>
      </c>
      <c r="G14" s="5" t="n">
        <v>175300</v>
      </c>
      <c r="H14" s="5" t="n">
        <v>175300</v>
      </c>
      <c r="I14" s="5" t="n">
        <v>175300</v>
      </c>
      <c r="J14" s="5" t="n">
        <v>93481.00999999999</v>
      </c>
      <c r="K14" s="5" t="n">
        <v>71376.84</v>
      </c>
      <c r="L14" s="5" t="n">
        <v>22104.17</v>
      </c>
      <c r="M14" s="5" t="n">
        <v>112759.17</v>
      </c>
      <c r="N14" s="5" t="n">
        <v>-19278.16</v>
      </c>
      <c r="O14" s="6" t="n">
        <v>1</v>
      </c>
      <c r="P14" s="6" t="n">
        <v>1.2062</v>
      </c>
    </row>
    <row r="15">
      <c r="A15" s="4" t="inlineStr">
        <is>
          <t>23-PC-34510</t>
        </is>
      </c>
      <c r="B15" s="4" t="inlineStr">
        <is>
          <t>Millbrook Mixed-Use Development Class III Survey</t>
        </is>
      </c>
      <c r="C15" s="4" t="inlineStr">
        <is>
          <t>Final Reporting/Review</t>
        </is>
      </c>
      <c r="D15" s="4" t="inlineStr">
        <is>
          <t>Time and material</t>
        </is>
      </c>
      <c r="E15" s="4" t="inlineStr">
        <is>
          <t>Great Lakes</t>
        </is>
      </c>
      <c r="F15" s="4" t="inlineStr">
        <is>
          <t>Geoffrey Fernandez</t>
        </is>
      </c>
      <c r="G15" s="5" t="n">
        <v>70000</v>
      </c>
      <c r="H15" s="5" t="n">
        <v>47600</v>
      </c>
      <c r="I15" s="5" t="n">
        <v>47600</v>
      </c>
      <c r="J15" s="5" t="n">
        <v>50246</v>
      </c>
      <c r="K15" s="5" t="n">
        <v>50246</v>
      </c>
      <c r="L15" s="5" t="n">
        <v>0</v>
      </c>
      <c r="M15" s="5" t="n">
        <v>45814.41</v>
      </c>
      <c r="N15" s="5" t="n">
        <v>4431.589999999997</v>
      </c>
      <c r="O15" s="6" t="n">
        <v>0.68</v>
      </c>
      <c r="P15" s="6" t="n">
        <v>0.9118000000000001</v>
      </c>
    </row>
    <row r="16">
      <c r="A16" s="4" t="inlineStr">
        <is>
          <t>23-PC-35682</t>
        </is>
      </c>
      <c r="B16" s="4" t="inlineStr">
        <is>
          <t>Lantern Bay Class III Survey</t>
        </is>
      </c>
      <c r="C16" s="4" t="inlineStr">
        <is>
          <t>In Progress</t>
        </is>
      </c>
      <c r="D16" s="4" t="inlineStr">
        <is>
          <t>Fixed fee</t>
        </is>
      </c>
      <c r="E16" s="4" t="inlineStr">
        <is>
          <t>High Desert</t>
        </is>
      </c>
      <c r="F16" s="4" t="inlineStr">
        <is>
          <t>Eileen Poole</t>
        </is>
      </c>
      <c r="G16" s="5" t="n">
        <v>290400</v>
      </c>
      <c r="H16" s="5" t="n">
        <v>277361.04</v>
      </c>
      <c r="I16" s="5" t="n">
        <v>277361.04</v>
      </c>
      <c r="J16" s="5" t="n">
        <v>252938.4</v>
      </c>
      <c r="K16" s="5" t="n">
        <v>252938.4</v>
      </c>
      <c r="L16" s="5" t="n">
        <v>0</v>
      </c>
      <c r="M16" s="5" t="n">
        <v>241578.4</v>
      </c>
      <c r="N16" s="5" t="n">
        <v>11360</v>
      </c>
      <c r="O16" s="6" t="n">
        <v>0.955</v>
      </c>
      <c r="P16" s="6" t="n">
        <v>0.9550999999999999</v>
      </c>
    </row>
    <row r="17">
      <c r="A17" s="4" t="inlineStr">
        <is>
          <t>23-PC-36063</t>
        </is>
      </c>
      <c r="B17" s="4" t="inlineStr">
        <is>
          <t>Plover Cove Mine Expansion - Phase II Testing</t>
        </is>
      </c>
      <c r="C17" s="4" t="inlineStr">
        <is>
          <t>In Progress</t>
        </is>
      </c>
      <c r="D17" s="4" t="inlineStr">
        <is>
          <t>Fixed fee</t>
        </is>
      </c>
      <c r="E17" s="4" t="inlineStr">
        <is>
          <t>High Desert</t>
        </is>
      </c>
      <c r="F17" s="4" t="inlineStr">
        <is>
          <t>Kathy Hurley</t>
        </is>
      </c>
      <c r="G17" s="5" t="n">
        <v>114600</v>
      </c>
      <c r="H17" s="5" t="n">
        <v>104870.46</v>
      </c>
      <c r="I17" s="5" t="n">
        <v>104870.46</v>
      </c>
      <c r="J17" s="5" t="n">
        <v>77893.62</v>
      </c>
      <c r="K17" s="5" t="n">
        <v>77893.62</v>
      </c>
      <c r="L17" s="5" t="n">
        <v>0</v>
      </c>
      <c r="M17" s="5" t="n">
        <v>71277.07000000001</v>
      </c>
      <c r="N17" s="5" t="n">
        <v>6616.549999999988</v>
      </c>
      <c r="O17" s="6" t="n">
        <v>0.915</v>
      </c>
      <c r="P17" s="6" t="n">
        <v>0.9151</v>
      </c>
    </row>
    <row r="18">
      <c r="A18" s="4" t="inlineStr">
        <is>
          <t>23-PC-36422</t>
        </is>
      </c>
      <c r="B18" s="4" t="inlineStr">
        <is>
          <t>Hawk Point Phase I Survey</t>
        </is>
      </c>
      <c r="C18" s="4" t="inlineStr">
        <is>
          <t>In Progress</t>
        </is>
      </c>
      <c r="D18" s="4" t="inlineStr">
        <is>
          <t>Time and material</t>
        </is>
      </c>
      <c r="E18" s="4" t="inlineStr">
        <is>
          <t>Island</t>
        </is>
      </c>
      <c r="F18" s="4" t="inlineStr">
        <is>
          <t>Joan Mathis</t>
        </is>
      </c>
      <c r="G18" s="5" t="n">
        <v>50700</v>
      </c>
      <c r="H18" s="5" t="n">
        <v>34476</v>
      </c>
      <c r="I18" s="5" t="n">
        <v>34476</v>
      </c>
      <c r="J18" s="5" t="n">
        <v>36579.06</v>
      </c>
      <c r="K18" s="5" t="n">
        <v>32790.93</v>
      </c>
      <c r="L18" s="5" t="n">
        <v>3788.13</v>
      </c>
      <c r="M18" s="5" t="n">
        <v>37409.59</v>
      </c>
      <c r="N18" s="5" t="n">
        <v>-830.5299999999988</v>
      </c>
      <c r="O18" s="6" t="n">
        <v>0.68</v>
      </c>
      <c r="P18" s="6" t="n">
        <v>1.0227</v>
      </c>
    </row>
    <row r="19">
      <c r="A19" s="4" t="inlineStr">
        <is>
          <t>23-PC-38759</t>
        </is>
      </c>
      <c r="B19" s="4" t="inlineStr">
        <is>
          <t>Saltgrass Cultural Resources Assessment</t>
        </is>
      </c>
      <c r="C19" s="4" t="inlineStr">
        <is>
          <t>Cost Tracking on Closed Project</t>
        </is>
      </c>
      <c r="D19" s="4" t="inlineStr">
        <is>
          <t>Time and material</t>
        </is>
      </c>
      <c r="E19" s="4" t="inlineStr">
        <is>
          <t>Red Rock</t>
        </is>
      </c>
      <c r="F19" s="4" t="inlineStr">
        <is>
          <t>Tina Aguirre</t>
        </is>
      </c>
      <c r="G19" s="5" t="n">
        <v>52400</v>
      </c>
      <c r="H19" s="5" t="n">
        <v>35632</v>
      </c>
      <c r="I19" s="5" t="n">
        <v>35632</v>
      </c>
      <c r="J19" s="5" t="n">
        <v>36847.68</v>
      </c>
      <c r="K19" s="5" t="n">
        <v>36847.68</v>
      </c>
      <c r="L19" s="5" t="n">
        <v>0</v>
      </c>
      <c r="M19" s="5" t="n">
        <v>40372.44</v>
      </c>
      <c r="N19" s="5" t="n">
        <v>-3524.760000000002</v>
      </c>
      <c r="O19" s="6" t="n">
        <v>0.68</v>
      </c>
      <c r="P19" s="6" t="n">
        <v>1.0957</v>
      </c>
    </row>
    <row r="20">
      <c r="A20" s="4" t="inlineStr">
        <is>
          <t>23-PC-40537</t>
        </is>
      </c>
      <c r="B20" s="4" t="inlineStr">
        <is>
          <t>Phase I: Tamarack Airport Apron Section 106 Consultation</t>
        </is>
      </c>
      <c r="C20" s="4" t="inlineStr">
        <is>
          <t>Lab/Curation</t>
        </is>
      </c>
      <c r="D20" s="4" t="inlineStr">
        <is>
          <t>Fixed fee</t>
        </is>
      </c>
      <c r="E20" s="4" t="inlineStr">
        <is>
          <t>Sierra</t>
        </is>
      </c>
      <c r="F20" s="4" t="inlineStr">
        <is>
          <t>Louis Huff</t>
        </is>
      </c>
      <c r="G20" s="5" t="n">
        <v>76500</v>
      </c>
      <c r="H20" s="5" t="n">
        <v>76500</v>
      </c>
      <c r="I20" s="5" t="n">
        <v>76500</v>
      </c>
      <c r="J20" s="5" t="n">
        <v>58746.94</v>
      </c>
      <c r="K20" s="5" t="n">
        <v>55119.6</v>
      </c>
      <c r="L20" s="5" t="n">
        <v>3627.34</v>
      </c>
      <c r="M20" s="5" t="n">
        <v>63236.56</v>
      </c>
      <c r="N20" s="5" t="n">
        <v>-4489.619999999995</v>
      </c>
      <c r="O20" s="6" t="n">
        <v>1</v>
      </c>
      <c r="P20" s="6" t="n">
        <v>1.0764</v>
      </c>
    </row>
    <row r="21">
      <c r="A21" s="4" t="inlineStr">
        <is>
          <t>23-PC-41134</t>
        </is>
      </c>
      <c r="B21" s="4" t="inlineStr">
        <is>
          <t>Creosote Draw Park Improvements Class III Survey</t>
        </is>
      </c>
      <c r="C21" s="4" t="inlineStr">
        <is>
          <t>In Progress</t>
        </is>
      </c>
      <c r="D21" s="4" t="inlineStr">
        <is>
          <t>Time and material</t>
        </is>
      </c>
      <c r="E21" s="4" t="inlineStr">
        <is>
          <t>Coastal Bend</t>
        </is>
      </c>
      <c r="F21" s="4" t="inlineStr">
        <is>
          <t>Steve Rubio</t>
        </is>
      </c>
      <c r="G21" s="5" t="n">
        <v>56300</v>
      </c>
      <c r="H21" s="5" t="n">
        <v>38284</v>
      </c>
      <c r="I21" s="5" t="n">
        <v>38284</v>
      </c>
      <c r="J21" s="5" t="n">
        <v>42714.81</v>
      </c>
      <c r="K21" s="5" t="n">
        <v>42714.81</v>
      </c>
      <c r="L21" s="5" t="n">
        <v>0</v>
      </c>
      <c r="M21" s="5" t="n">
        <v>47948.89</v>
      </c>
      <c r="N21" s="5" t="n">
        <v>-5234.080000000002</v>
      </c>
      <c r="O21" s="6" t="n">
        <v>0.68</v>
      </c>
      <c r="P21" s="6" t="n">
        <v>1.1225</v>
      </c>
    </row>
    <row r="22">
      <c r="A22" s="4" t="inlineStr">
        <is>
          <t>23-PC-41285</t>
        </is>
      </c>
      <c r="B22" s="4" t="inlineStr">
        <is>
          <t>Phase III: Ember Valley Park Improvements Data Recovery</t>
        </is>
      </c>
      <c r="C22" s="4" t="inlineStr">
        <is>
          <t>Cost Tracking on Closed Project</t>
        </is>
      </c>
      <c r="D22" s="4" t="inlineStr">
        <is>
          <t>Fixed fee</t>
        </is>
      </c>
      <c r="E22" s="4" t="inlineStr">
        <is>
          <t>Coastal Bend</t>
        </is>
      </c>
      <c r="F22" s="4" t="inlineStr">
        <is>
          <t>Diane Daniels</t>
        </is>
      </c>
      <c r="G22" s="5" t="n">
        <v>349600</v>
      </c>
      <c r="H22" s="5" t="n">
        <v>349600</v>
      </c>
      <c r="I22" s="5" t="n">
        <v>349600</v>
      </c>
      <c r="J22" s="5" t="n">
        <v>221087.04</v>
      </c>
      <c r="K22" s="5" t="n">
        <v>221087.04</v>
      </c>
      <c r="L22" s="5" t="n">
        <v>0</v>
      </c>
      <c r="M22" s="5" t="n">
        <v>229204.35</v>
      </c>
      <c r="N22" s="5" t="n">
        <v>-8117.309999999998</v>
      </c>
      <c r="O22" s="6" t="n">
        <v>1</v>
      </c>
      <c r="P22" s="6" t="n">
        <v>1.0367</v>
      </c>
    </row>
    <row r="23">
      <c r="A23" s="4" t="inlineStr">
        <is>
          <t>23-PC-41602</t>
        </is>
      </c>
      <c r="B23" s="4" t="inlineStr">
        <is>
          <t>Wren Hollow Cultural Resources Monitoring</t>
        </is>
      </c>
      <c r="C23" s="4" t="inlineStr">
        <is>
          <t>Lab/Curation</t>
        </is>
      </c>
      <c r="D23" s="4" t="inlineStr">
        <is>
          <t>Fixed fee</t>
        </is>
      </c>
      <c r="E23" s="4" t="inlineStr">
        <is>
          <t>Coastal Bend</t>
        </is>
      </c>
      <c r="F23" s="4" t="inlineStr">
        <is>
          <t>Alexis Nixon</t>
        </is>
      </c>
      <c r="G23" s="5" t="n">
        <v>755000</v>
      </c>
      <c r="H23" s="5" t="n">
        <v>705170</v>
      </c>
      <c r="I23" s="5" t="n">
        <v>705170</v>
      </c>
      <c r="J23" s="5" t="n">
        <v>444695</v>
      </c>
      <c r="K23" s="5" t="n">
        <v>444695</v>
      </c>
      <c r="L23" s="5" t="n">
        <v>0</v>
      </c>
      <c r="M23" s="5" t="n">
        <v>415325.46</v>
      </c>
      <c r="N23" s="5" t="n">
        <v>29369.53999999998</v>
      </c>
      <c r="O23" s="6" t="n">
        <v>0.9340000000000001</v>
      </c>
      <c r="P23" s="6" t="n">
        <v>0.9340000000000001</v>
      </c>
    </row>
    <row r="24">
      <c r="A24" s="4" t="inlineStr">
        <is>
          <t>23-PC-43158</t>
        </is>
      </c>
      <c r="B24" s="4" t="inlineStr">
        <is>
          <t>Twin Buttes Wind Farm - Archaeological Testing</t>
        </is>
      </c>
      <c r="C24" s="4" t="inlineStr">
        <is>
          <t>In Progress</t>
        </is>
      </c>
      <c r="D24" s="4" t="inlineStr">
        <is>
          <t>Fixed fee</t>
        </is>
      </c>
      <c r="E24" s="4" t="inlineStr">
        <is>
          <t>Geospatial</t>
        </is>
      </c>
      <c r="F24" s="4" t="inlineStr">
        <is>
          <t>Priscilla Pennington</t>
        </is>
      </c>
      <c r="G24" s="5" t="n">
        <v>73300</v>
      </c>
      <c r="H24" s="5" t="n">
        <v>66563.73</v>
      </c>
      <c r="I24" s="5" t="n">
        <v>66563.73</v>
      </c>
      <c r="J24" s="5" t="n">
        <v>53362.4</v>
      </c>
      <c r="K24" s="5" t="n">
        <v>53362.4</v>
      </c>
      <c r="L24" s="5" t="n">
        <v>0</v>
      </c>
      <c r="M24" s="5" t="n">
        <v>48458.95</v>
      </c>
      <c r="N24" s="5" t="n">
        <v>4903.450000000004</v>
      </c>
      <c r="O24" s="6" t="n">
        <v>0.908</v>
      </c>
      <c r="P24" s="6" t="n">
        <v>0.9081</v>
      </c>
    </row>
    <row r="25">
      <c r="A25" s="4" t="inlineStr">
        <is>
          <t>24-PC-30233</t>
        </is>
      </c>
      <c r="B25" s="4" t="inlineStr">
        <is>
          <t>Bramble Creek Mine Expansion Phase I Survey</t>
        </is>
      </c>
      <c r="C25" s="4" t="inlineStr">
        <is>
          <t>In Progress</t>
        </is>
      </c>
      <c r="D25" s="4" t="inlineStr">
        <is>
          <t>Fixed fee</t>
        </is>
      </c>
      <c r="E25" s="4" t="inlineStr">
        <is>
          <t>Big Sky</t>
        </is>
      </c>
      <c r="F25" s="4" t="inlineStr">
        <is>
          <t>Javier Estrada</t>
        </is>
      </c>
      <c r="G25" s="5" t="n">
        <v>93300</v>
      </c>
      <c r="H25" s="5" t="n">
        <v>93300</v>
      </c>
      <c r="I25" s="5" t="n">
        <v>90265.16</v>
      </c>
      <c r="J25" s="5" t="n">
        <v>59544.06</v>
      </c>
      <c r="K25" s="5" t="n">
        <v>59544.06</v>
      </c>
      <c r="L25" s="5" t="n">
        <v>0</v>
      </c>
      <c r="M25" s="5" t="n">
        <v>93708.96000000001</v>
      </c>
      <c r="N25" s="5" t="n">
        <v>-34164.90000000001</v>
      </c>
      <c r="O25" s="6" t="n">
        <v>1</v>
      </c>
      <c r="P25" s="6" t="n">
        <v>1.5738</v>
      </c>
    </row>
    <row r="26">
      <c r="A26" s="4" t="inlineStr">
        <is>
          <t>24-PC-30679</t>
        </is>
      </c>
      <c r="B26" s="4" t="inlineStr">
        <is>
          <t>Kestrel Butte Maritime Remote Sensing Survey</t>
        </is>
      </c>
      <c r="C26" s="4" t="inlineStr">
        <is>
          <t>In Progress</t>
        </is>
      </c>
      <c r="D26" s="4" t="inlineStr">
        <is>
          <t>Fixed fee</t>
        </is>
      </c>
      <c r="E26" s="4" t="inlineStr">
        <is>
          <t>Bluegrass</t>
        </is>
      </c>
      <c r="F26" s="4" t="inlineStr">
        <is>
          <t>Kiara Gillespie</t>
        </is>
      </c>
      <c r="G26" s="5" t="n">
        <v>60600</v>
      </c>
      <c r="H26" s="5" t="n">
        <v>60600</v>
      </c>
      <c r="I26" s="5" t="n">
        <v>60600</v>
      </c>
      <c r="J26" s="5" t="n">
        <v>45577.26</v>
      </c>
      <c r="K26" s="5" t="n">
        <v>45577.26</v>
      </c>
      <c r="L26" s="5" t="n">
        <v>0</v>
      </c>
      <c r="M26" s="5" t="n">
        <v>50596.88</v>
      </c>
      <c r="N26" s="5" t="n">
        <v>-5019.619999999995</v>
      </c>
      <c r="O26" s="6" t="n">
        <v>1</v>
      </c>
      <c r="P26" s="6" t="n">
        <v>1.1101</v>
      </c>
    </row>
    <row r="27">
      <c r="A27" s="4" t="inlineStr">
        <is>
          <t>24-PC-31282</t>
        </is>
      </c>
      <c r="B27" s="4" t="inlineStr">
        <is>
          <t>Phase III: Timber Gap Mixed-Use Development GIS Mapping</t>
        </is>
      </c>
      <c r="C27" s="4" t="inlineStr">
        <is>
          <t>Cost Tracking on Closed Project</t>
        </is>
      </c>
      <c r="D27" s="4" t="inlineStr">
        <is>
          <t>Time and material</t>
        </is>
      </c>
      <c r="E27" s="4" t="inlineStr">
        <is>
          <t>Cascade</t>
        </is>
      </c>
      <c r="F27" s="4" t="inlineStr">
        <is>
          <t>Preston Duarte</t>
        </is>
      </c>
      <c r="G27" s="5" t="n">
        <v>94000</v>
      </c>
      <c r="H27" s="5" t="n">
        <v>63920</v>
      </c>
      <c r="I27" s="5" t="n">
        <v>63920</v>
      </c>
      <c r="J27" s="5" t="n">
        <v>65640.2</v>
      </c>
      <c r="K27" s="5" t="n">
        <v>65640.2</v>
      </c>
      <c r="L27" s="5" t="n">
        <v>0</v>
      </c>
      <c r="M27" s="5" t="n">
        <v>73270.02</v>
      </c>
      <c r="N27" s="5" t="n">
        <v>-7629.820000000007</v>
      </c>
      <c r="O27" s="6" t="n">
        <v>0.68</v>
      </c>
      <c r="P27" s="6" t="n">
        <v>1.1162</v>
      </c>
    </row>
    <row r="28">
      <c r="A28" s="4" t="inlineStr">
        <is>
          <t>24-PC-31503</t>
        </is>
      </c>
      <c r="B28" s="4" t="inlineStr">
        <is>
          <t>North Fork Wind Farm Curation</t>
        </is>
      </c>
      <c r="C28" s="4" t="inlineStr">
        <is>
          <t>Lab/Curation</t>
        </is>
      </c>
      <c r="D28" s="4" t="inlineStr">
        <is>
          <t>Time and material</t>
        </is>
      </c>
      <c r="E28" s="4" t="inlineStr">
        <is>
          <t>Cascade</t>
        </is>
      </c>
      <c r="F28" s="4" t="inlineStr">
        <is>
          <t>Preston Duarte</t>
        </is>
      </c>
      <c r="G28" s="5" t="n">
        <v>129900</v>
      </c>
      <c r="H28" s="5" t="n">
        <v>88332</v>
      </c>
      <c r="I28" s="5" t="n">
        <v>88332</v>
      </c>
      <c r="J28" s="5" t="n">
        <v>87825.39</v>
      </c>
      <c r="K28" s="5" t="n">
        <v>87825.39</v>
      </c>
      <c r="L28" s="5" t="n">
        <v>0</v>
      </c>
      <c r="M28" s="5" t="n">
        <v>98773.25999999999</v>
      </c>
      <c r="N28" s="5" t="n">
        <v>-10947.87</v>
      </c>
      <c r="O28" s="6" t="n">
        <v>0.68</v>
      </c>
      <c r="P28" s="6" t="n">
        <v>1.1247</v>
      </c>
    </row>
    <row r="29">
      <c r="A29" s="4" t="inlineStr">
        <is>
          <t>24-PC-32201</t>
        </is>
      </c>
      <c r="B29" s="4" t="inlineStr">
        <is>
          <t>Task Order 14: Hawk Point Harbor Dredging Maritime Remote Sensing Survey</t>
        </is>
      </c>
      <c r="C29" s="4" t="inlineStr">
        <is>
          <t>In Progress</t>
        </is>
      </c>
      <c r="D29" s="4" t="inlineStr">
        <is>
          <t>Fixed fee</t>
        </is>
      </c>
      <c r="E29" s="4" t="inlineStr">
        <is>
          <t>Chesapeake</t>
        </is>
      </c>
      <c r="F29" s="4" t="inlineStr">
        <is>
          <t>Jason Oconnor</t>
        </is>
      </c>
      <c r="G29" s="5" t="n">
        <v>51800</v>
      </c>
      <c r="H29" s="5" t="n">
        <v>51800</v>
      </c>
      <c r="I29" s="5" t="n">
        <v>50026.67</v>
      </c>
      <c r="J29" s="5" t="n">
        <v>36731.38</v>
      </c>
      <c r="K29" s="5" t="n">
        <v>36731.38</v>
      </c>
      <c r="L29" s="5" t="n">
        <v>0</v>
      </c>
      <c r="M29" s="5" t="n">
        <v>59530.75</v>
      </c>
      <c r="N29" s="5" t="n">
        <v>-22799.37</v>
      </c>
      <c r="O29" s="6" t="n">
        <v>1</v>
      </c>
      <c r="P29" s="6" t="n">
        <v>1.6207</v>
      </c>
    </row>
    <row r="30">
      <c r="A30" s="4" t="inlineStr">
        <is>
          <t>24-PC-32647</t>
        </is>
      </c>
      <c r="B30" s="4" t="inlineStr">
        <is>
          <t>On-Call: Granite Pass Substation Cultural Resources Monitoring</t>
        </is>
      </c>
      <c r="C30" s="4" t="inlineStr">
        <is>
          <t>Final Reporting/Review</t>
        </is>
      </c>
      <c r="D30" s="4" t="inlineStr">
        <is>
          <t>Fixed fee</t>
        </is>
      </c>
      <c r="E30" s="4" t="inlineStr">
        <is>
          <t>Chesapeake</t>
        </is>
      </c>
      <c r="F30" s="4" t="inlineStr">
        <is>
          <t>Alexandria Wilkinson</t>
        </is>
      </c>
      <c r="G30" s="5" t="n">
        <v>84000</v>
      </c>
      <c r="H30" s="5" t="n">
        <v>84000</v>
      </c>
      <c r="I30" s="5" t="n">
        <v>83888.35000000001</v>
      </c>
      <c r="J30" s="5" t="n">
        <v>70198.8</v>
      </c>
      <c r="K30" s="5" t="n">
        <v>70198.8</v>
      </c>
      <c r="L30" s="5" t="n">
        <v>0</v>
      </c>
      <c r="M30" s="5" t="n">
        <v>85361.67</v>
      </c>
      <c r="N30" s="5" t="n">
        <v>-15162.87</v>
      </c>
      <c r="O30" s="6" t="n">
        <v>1</v>
      </c>
      <c r="P30" s="6" t="n">
        <v>1.216</v>
      </c>
    </row>
    <row r="31">
      <c r="A31" s="4" t="inlineStr">
        <is>
          <t>24-PC-33822</t>
        </is>
      </c>
      <c r="B31" s="4" t="inlineStr">
        <is>
          <t>Task Order 36: Windmill Flat School Campus Cultural Resources Monitoring</t>
        </is>
      </c>
      <c r="C31" s="4" t="inlineStr">
        <is>
          <t>In Progress</t>
        </is>
      </c>
      <c r="D31" s="4" t="inlineStr">
        <is>
          <t>Fixed fee</t>
        </is>
      </c>
      <c r="E31" s="4" t="inlineStr">
        <is>
          <t>Great Lakes</t>
        </is>
      </c>
      <c r="F31" s="4" t="inlineStr">
        <is>
          <t>Karl Valenzuela</t>
        </is>
      </c>
      <c r="G31" s="5" t="n">
        <v>64500</v>
      </c>
      <c r="H31" s="5" t="n">
        <v>59346.45</v>
      </c>
      <c r="I31" s="5" t="n">
        <v>57224.04</v>
      </c>
      <c r="J31" s="5" t="n">
        <v>49568.25</v>
      </c>
      <c r="K31" s="5" t="n">
        <v>49568.25</v>
      </c>
      <c r="L31" s="5" t="n">
        <v>0</v>
      </c>
      <c r="M31" s="5" t="n">
        <v>45606.09</v>
      </c>
      <c r="N31" s="5" t="n">
        <v>3962.160000000003</v>
      </c>
      <c r="O31" s="6" t="n">
        <v>0.92</v>
      </c>
      <c r="P31" s="6" t="n">
        <v>0.9201</v>
      </c>
    </row>
    <row r="32">
      <c r="A32" s="4" t="inlineStr">
        <is>
          <t>24-PC-34803</t>
        </is>
      </c>
      <c r="B32" s="4" t="inlineStr">
        <is>
          <t>Cedar Hollow Highway Widening - Section 106 Consultation</t>
        </is>
      </c>
      <c r="C32" s="4" t="inlineStr">
        <is>
          <t>In Progress</t>
        </is>
      </c>
      <c r="D32" s="4" t="inlineStr">
        <is>
          <t>Time and material</t>
        </is>
      </c>
      <c r="E32" s="4" t="inlineStr">
        <is>
          <t>Gulf Coast</t>
        </is>
      </c>
      <c r="F32" s="4" t="inlineStr">
        <is>
          <t>Courtney Daugherty</t>
        </is>
      </c>
      <c r="G32" s="5" t="n">
        <v>176500</v>
      </c>
      <c r="H32" s="5" t="n">
        <v>120020</v>
      </c>
      <c r="I32" s="5" t="n">
        <v>120020</v>
      </c>
      <c r="J32" s="5" t="n">
        <v>121414.35</v>
      </c>
      <c r="K32" s="5" t="n">
        <v>121414.35</v>
      </c>
      <c r="L32" s="5" t="n">
        <v>0</v>
      </c>
      <c r="M32" s="5" t="n">
        <v>122080.25</v>
      </c>
      <c r="N32" s="5" t="n">
        <v>-665.8999999999942</v>
      </c>
      <c r="O32" s="6" t="n">
        <v>0.68</v>
      </c>
      <c r="P32" s="6" t="n">
        <v>1.0055</v>
      </c>
    </row>
    <row r="33">
      <c r="A33" s="4" t="inlineStr">
        <is>
          <t>24-PC-35412</t>
        </is>
      </c>
      <c r="B33" s="4" t="inlineStr">
        <is>
          <t>Sumac Ridge Reservoir - Historic Resources Evaluation</t>
        </is>
      </c>
      <c r="C33" s="4" t="inlineStr">
        <is>
          <t>In Progress</t>
        </is>
      </c>
      <c r="D33" s="4" t="inlineStr">
        <is>
          <t>Time and material</t>
        </is>
      </c>
      <c r="E33" s="4" t="inlineStr">
        <is>
          <t>High Desert</t>
        </is>
      </c>
      <c r="F33" s="4" t="inlineStr">
        <is>
          <t>Kathy Hurley</t>
        </is>
      </c>
      <c r="G33" s="5" t="n">
        <v>301200</v>
      </c>
      <c r="H33" s="5" t="n">
        <v>204816</v>
      </c>
      <c r="I33" s="5" t="n">
        <v>204816</v>
      </c>
      <c r="J33" s="5" t="n">
        <v>217496.52</v>
      </c>
      <c r="K33" s="5" t="n">
        <v>217496.52</v>
      </c>
      <c r="L33" s="5" t="n">
        <v>0</v>
      </c>
      <c r="M33" s="5" t="n">
        <v>196030.1</v>
      </c>
      <c r="N33" s="5" t="n">
        <v>21466.41999999998</v>
      </c>
      <c r="O33" s="6" t="n">
        <v>0.68</v>
      </c>
      <c r="P33" s="6" t="n">
        <v>0.9013</v>
      </c>
    </row>
    <row r="34">
      <c r="A34" s="4" t="inlineStr">
        <is>
          <t>24-PC-35661</t>
        </is>
      </c>
      <c r="B34" s="4" t="inlineStr">
        <is>
          <t>On-Call: Willow Springs Reservoir Archaeological Testing</t>
        </is>
      </c>
      <c r="C34" s="4" t="inlineStr">
        <is>
          <t>In Progress</t>
        </is>
      </c>
      <c r="D34" s="4" t="inlineStr">
        <is>
          <t>Time and material</t>
        </is>
      </c>
      <c r="E34" s="4" t="inlineStr">
        <is>
          <t>High Desert</t>
        </is>
      </c>
      <c r="F34" s="4" t="inlineStr">
        <is>
          <t>Kathy Hurley</t>
        </is>
      </c>
      <c r="G34" s="5" t="n">
        <v>69900</v>
      </c>
      <c r="H34" s="5" t="n">
        <v>69900</v>
      </c>
      <c r="I34" s="5" t="n">
        <v>66597.48</v>
      </c>
      <c r="J34" s="5" t="n">
        <v>49013.31</v>
      </c>
      <c r="K34" s="5" t="n">
        <v>40696.6</v>
      </c>
      <c r="L34" s="5" t="n">
        <v>8316.709999999999</v>
      </c>
      <c r="M34" s="5" t="n">
        <v>53862.59</v>
      </c>
      <c r="N34" s="5" t="n">
        <v>-4849.279999999999</v>
      </c>
      <c r="O34" s="6" t="n">
        <v>1</v>
      </c>
      <c r="P34" s="6" t="n">
        <v>1.0989</v>
      </c>
    </row>
    <row r="35">
      <c r="A35" s="4" t="inlineStr">
        <is>
          <t>24-PC-35872</t>
        </is>
      </c>
      <c r="B35" s="4" t="inlineStr">
        <is>
          <t>Wren Hollow Cultural Resources Monitoring</t>
        </is>
      </c>
      <c r="C35" s="4" t="inlineStr">
        <is>
          <t>In Progress</t>
        </is>
      </c>
      <c r="D35" s="4" t="inlineStr">
        <is>
          <t>Time and material</t>
        </is>
      </c>
      <c r="E35" s="4" t="inlineStr">
        <is>
          <t>High Desert</t>
        </is>
      </c>
      <c r="F35" s="4" t="inlineStr">
        <is>
          <t>Kathy Hurley</t>
        </is>
      </c>
      <c r="G35" s="5" t="n">
        <v>225100</v>
      </c>
      <c r="H35" s="5" t="n">
        <v>200102.05</v>
      </c>
      <c r="I35" s="5" t="n">
        <v>200102.05</v>
      </c>
      <c r="J35" s="5" t="n">
        <v>153743.3</v>
      </c>
      <c r="K35" s="5" t="n">
        <v>153743.3</v>
      </c>
      <c r="L35" s="5" t="n">
        <v>0</v>
      </c>
      <c r="M35" s="5" t="n">
        <v>140872.8</v>
      </c>
      <c r="N35" s="5" t="n">
        <v>12870.5</v>
      </c>
      <c r="O35" s="6" t="n">
        <v>0.889</v>
      </c>
      <c r="P35" s="6" t="n">
        <v>0.9163</v>
      </c>
    </row>
    <row r="36">
      <c r="A36" s="4" t="inlineStr">
        <is>
          <t>24-PC-36146</t>
        </is>
      </c>
      <c r="B36" s="4" t="inlineStr">
        <is>
          <t>Sea Oat Bridge Replacement Phase II Testing</t>
        </is>
      </c>
      <c r="C36" s="4" t="inlineStr">
        <is>
          <t>Cost Tracking on Closed Project</t>
        </is>
      </c>
      <c r="D36" s="4" t="inlineStr">
        <is>
          <t>Fixed fee</t>
        </is>
      </c>
      <c r="E36" s="4" t="inlineStr">
        <is>
          <t>High Desert</t>
        </is>
      </c>
      <c r="F36" s="4" t="inlineStr">
        <is>
          <t>Kathy Hurley</t>
        </is>
      </c>
      <c r="G36" s="5" t="n">
        <v>58300</v>
      </c>
      <c r="H36" s="5" t="n">
        <v>58300</v>
      </c>
      <c r="I36" s="5" t="n">
        <v>58300</v>
      </c>
      <c r="J36" s="5" t="n">
        <v>39072.66</v>
      </c>
      <c r="K36" s="5" t="n">
        <v>39072.66</v>
      </c>
      <c r="L36" s="5" t="n">
        <v>0</v>
      </c>
      <c r="M36" s="5" t="n">
        <v>45518.79</v>
      </c>
      <c r="N36" s="5" t="n">
        <v>-6446.129999999997</v>
      </c>
      <c r="O36" s="6" t="n">
        <v>1</v>
      </c>
      <c r="P36" s="6" t="n">
        <v>1.165</v>
      </c>
    </row>
    <row r="37">
      <c r="A37" s="4" t="inlineStr">
        <is>
          <t>24-PC-36290</t>
        </is>
      </c>
      <c r="B37" s="4" t="inlineStr">
        <is>
          <t>Task Order 12: Lone Pine Battery Storage GIS Mapping</t>
        </is>
      </c>
      <c r="C37" s="4" t="inlineStr">
        <is>
          <t>Cost Tracking on Closed Project</t>
        </is>
      </c>
      <c r="D37" s="4" t="inlineStr">
        <is>
          <t>Fixed fee</t>
        </is>
      </c>
      <c r="E37" s="4" t="inlineStr">
        <is>
          <t>Island</t>
        </is>
      </c>
      <c r="F37" s="4" t="inlineStr">
        <is>
          <t>Rodney Mcguire</t>
        </is>
      </c>
      <c r="G37" s="5" t="n">
        <v>56300</v>
      </c>
      <c r="H37" s="5" t="n">
        <v>52077.5</v>
      </c>
      <c r="I37" s="5" t="n">
        <v>52077.5</v>
      </c>
      <c r="J37" s="5" t="n">
        <v>37721</v>
      </c>
      <c r="K37" s="5" t="n">
        <v>37721</v>
      </c>
      <c r="L37" s="5" t="n">
        <v>0</v>
      </c>
      <c r="M37" s="5" t="n">
        <v>34891.33</v>
      </c>
      <c r="N37" s="5" t="n">
        <v>2829.669999999998</v>
      </c>
      <c r="O37" s="6" t="n">
        <v>0.925</v>
      </c>
      <c r="P37" s="6" t="n">
        <v>0.925</v>
      </c>
    </row>
    <row r="38">
      <c r="A38" s="4" t="inlineStr">
        <is>
          <t>24-PC-36978</t>
        </is>
      </c>
      <c r="B38" s="4" t="inlineStr">
        <is>
          <t>Slate Ridge Water Main Archaeological Testing</t>
        </is>
      </c>
      <c r="C38" s="4" t="inlineStr">
        <is>
          <t>In Progress</t>
        </is>
      </c>
      <c r="D38" s="4" t="inlineStr">
        <is>
          <t>Fixed fee</t>
        </is>
      </c>
      <c r="E38" s="4" t="inlineStr">
        <is>
          <t>Hill Country</t>
        </is>
      </c>
      <c r="F38" s="4" t="inlineStr">
        <is>
          <t>Glen Delacruz</t>
        </is>
      </c>
      <c r="G38" s="5" t="n">
        <v>141000</v>
      </c>
      <c r="H38" s="5" t="n">
        <v>141000</v>
      </c>
      <c r="I38" s="5" t="n">
        <v>141000</v>
      </c>
      <c r="J38" s="5" t="n">
        <v>113970.3</v>
      </c>
      <c r="K38" s="5" t="n">
        <v>113970.3</v>
      </c>
      <c r="L38" s="5" t="n">
        <v>0</v>
      </c>
      <c r="M38" s="5" t="n">
        <v>138124.06</v>
      </c>
      <c r="N38" s="5" t="n">
        <v>-24153.75999999999</v>
      </c>
      <c r="O38" s="6" t="n">
        <v>1</v>
      </c>
      <c r="P38" s="6" t="n">
        <v>1.2119</v>
      </c>
    </row>
    <row r="39">
      <c r="A39" s="4" t="inlineStr">
        <is>
          <t>24-PC-38141</t>
        </is>
      </c>
      <c r="B39" s="4" t="inlineStr">
        <is>
          <t>Phase II: Willow Springs Airport Apron Cultural Resources Assessment</t>
        </is>
      </c>
      <c r="C39" s="4" t="inlineStr">
        <is>
          <t>In Progress</t>
        </is>
      </c>
      <c r="D39" s="4" t="inlineStr">
        <is>
          <t>Fixed fee</t>
        </is>
      </c>
      <c r="E39" s="4" t="inlineStr">
        <is>
          <t>Prairie</t>
        </is>
      </c>
      <c r="F39" s="4" t="inlineStr">
        <is>
          <t>Sherry Lloyd</t>
        </is>
      </c>
      <c r="G39" s="5" t="n">
        <v>132200</v>
      </c>
      <c r="H39" s="5" t="n">
        <v>121663.66</v>
      </c>
      <c r="I39" s="5" t="n">
        <v>121663.66</v>
      </c>
      <c r="J39" s="5" t="n">
        <v>95580.60000000001</v>
      </c>
      <c r="K39" s="5" t="n">
        <v>95580.60000000001</v>
      </c>
      <c r="L39" s="5" t="n">
        <v>0</v>
      </c>
      <c r="M39" s="5" t="n">
        <v>87961.2</v>
      </c>
      <c r="N39" s="5" t="n">
        <v>7619.400000000009</v>
      </c>
      <c r="O39" s="6" t="n">
        <v>0.92</v>
      </c>
      <c r="P39" s="6" t="n">
        <v>0.9203</v>
      </c>
    </row>
    <row r="40">
      <c r="A40" s="4" t="inlineStr">
        <is>
          <t>24-PC-38486</t>
        </is>
      </c>
      <c r="B40" s="4" t="inlineStr">
        <is>
          <t>Kestrel Butte Phase I Survey</t>
        </is>
      </c>
      <c r="C40" s="4" t="inlineStr">
        <is>
          <t>In Progress</t>
        </is>
      </c>
      <c r="D40" s="4" t="inlineStr">
        <is>
          <t>Fixed fee</t>
        </is>
      </c>
      <c r="E40" s="4" t="inlineStr">
        <is>
          <t>Red Rock</t>
        </is>
      </c>
      <c r="F40" s="4" t="inlineStr">
        <is>
          <t>Jeanette Chung</t>
        </is>
      </c>
      <c r="G40" s="5" t="n">
        <v>153600</v>
      </c>
      <c r="H40" s="5" t="n">
        <v>153600</v>
      </c>
      <c r="I40" s="5" t="n">
        <v>153600</v>
      </c>
      <c r="J40" s="5" t="n">
        <v>105043.81</v>
      </c>
      <c r="K40" s="5" t="n">
        <v>77500.98</v>
      </c>
      <c r="L40" s="5" t="n">
        <v>27542.83</v>
      </c>
      <c r="M40" s="5" t="n">
        <v>119866.24</v>
      </c>
      <c r="N40" s="5" t="n">
        <v>-14822.43000000001</v>
      </c>
      <c r="O40" s="6" t="n">
        <v>1</v>
      </c>
      <c r="P40" s="6" t="n">
        <v>1.1411</v>
      </c>
    </row>
    <row r="41">
      <c r="A41" s="4" t="inlineStr">
        <is>
          <t>24-PC-38790</t>
        </is>
      </c>
      <c r="B41" s="4" t="inlineStr">
        <is>
          <t>Twin Buttes Harbor Dredging Maritime Remote Sensing Survey</t>
        </is>
      </c>
      <c r="C41" s="4" t="inlineStr">
        <is>
          <t>Transferred Entity</t>
        </is>
      </c>
      <c r="D41" s="4" t="inlineStr">
        <is>
          <t>Fixed fee</t>
        </is>
      </c>
      <c r="E41" s="4" t="inlineStr">
        <is>
          <t>Red Rock</t>
        </is>
      </c>
      <c r="F41" s="4" t="inlineStr">
        <is>
          <t>Marisa Odom</t>
        </is>
      </c>
      <c r="G41" s="5" t="n">
        <v>168200</v>
      </c>
      <c r="H41" s="5" t="n">
        <v>168200</v>
      </c>
      <c r="I41" s="5" t="n">
        <v>168200</v>
      </c>
      <c r="J41" s="5" t="n">
        <v>130489.56</v>
      </c>
      <c r="K41" s="5" t="n">
        <v>130489.56</v>
      </c>
      <c r="L41" s="5" t="n">
        <v>0</v>
      </c>
      <c r="M41" s="5" t="n">
        <v>132230.67</v>
      </c>
      <c r="N41" s="5" t="n">
        <v>-1741.110000000015</v>
      </c>
      <c r="O41" s="6" t="n">
        <v>1</v>
      </c>
      <c r="P41" s="6" t="n">
        <v>1.0133</v>
      </c>
    </row>
    <row r="42">
      <c r="A42" s="4" t="inlineStr">
        <is>
          <t>24-PC-39091</t>
        </is>
      </c>
      <c r="B42" s="4" t="inlineStr">
        <is>
          <t>Phase I: Dove Canyon Battery Storage Class III Survey</t>
        </is>
      </c>
      <c r="C42" s="4" t="inlineStr">
        <is>
          <t>In Progress</t>
        </is>
      </c>
      <c r="D42" s="4" t="inlineStr">
        <is>
          <t>Fixed fee</t>
        </is>
      </c>
      <c r="E42" s="4" t="inlineStr">
        <is>
          <t>Red Rock</t>
        </is>
      </c>
      <c r="F42" s="4" t="inlineStr">
        <is>
          <t>Shelia Horne</t>
        </is>
      </c>
      <c r="G42" s="5" t="n">
        <v>100200</v>
      </c>
      <c r="H42" s="5" t="n">
        <v>100200</v>
      </c>
      <c r="I42" s="5" t="n">
        <v>93737.19</v>
      </c>
      <c r="J42" s="5" t="n">
        <v>72685.08</v>
      </c>
      <c r="K42" s="5" t="n">
        <v>72685.08</v>
      </c>
      <c r="L42" s="5" t="n">
        <v>0</v>
      </c>
      <c r="M42" s="5" t="n">
        <v>103671</v>
      </c>
      <c r="N42" s="5" t="n">
        <v>-30985.92</v>
      </c>
      <c r="O42" s="6" t="n">
        <v>1</v>
      </c>
      <c r="P42" s="6" t="n">
        <v>1.4263</v>
      </c>
    </row>
    <row r="43">
      <c r="A43" s="4" t="inlineStr">
        <is>
          <t>24-PC-39533</t>
        </is>
      </c>
      <c r="B43" s="4" t="inlineStr">
        <is>
          <t>Elk Meadow Architectural History Survey</t>
        </is>
      </c>
      <c r="C43" s="4" t="inlineStr">
        <is>
          <t>In Progress</t>
        </is>
      </c>
      <c r="D43" s="4" t="inlineStr">
        <is>
          <t>Fixed fee</t>
        </is>
      </c>
      <c r="E43" s="4" t="inlineStr">
        <is>
          <t>Red Rock</t>
        </is>
      </c>
      <c r="F43" s="4" t="inlineStr">
        <is>
          <t>Jeanette Chung</t>
        </is>
      </c>
      <c r="G43" s="5" t="n">
        <v>67000</v>
      </c>
      <c r="H43" s="5" t="n">
        <v>63536.1</v>
      </c>
      <c r="I43" s="5" t="n">
        <v>63536.1</v>
      </c>
      <c r="J43" s="5" t="n">
        <v>52641.9</v>
      </c>
      <c r="K43" s="5" t="n">
        <v>52641.9</v>
      </c>
      <c r="L43" s="5" t="n">
        <v>0</v>
      </c>
      <c r="M43" s="5" t="n">
        <v>49919.2</v>
      </c>
      <c r="N43" s="5" t="n">
        <v>2722.700000000004</v>
      </c>
      <c r="O43" s="6" t="n">
        <v>0.948</v>
      </c>
      <c r="P43" s="6" t="n">
        <v>0.9483</v>
      </c>
    </row>
    <row r="44">
      <c r="A44" s="4" t="inlineStr">
        <is>
          <t>24-PC-40102</t>
        </is>
      </c>
      <c r="B44" s="4" t="inlineStr">
        <is>
          <t>Redbud Class III Survey</t>
        </is>
      </c>
      <c r="C44" s="4" t="inlineStr">
        <is>
          <t>Final Reporting/Review</t>
        </is>
      </c>
      <c r="D44" s="4" t="inlineStr">
        <is>
          <t>Fixed fee</t>
        </is>
      </c>
      <c r="E44" s="4" t="inlineStr">
        <is>
          <t>Sierra</t>
        </is>
      </c>
      <c r="F44" s="4" t="inlineStr">
        <is>
          <t>Benjamin Mathis</t>
        </is>
      </c>
      <c r="G44" s="5" t="n">
        <v>453900</v>
      </c>
      <c r="H44" s="5" t="n">
        <v>453900</v>
      </c>
      <c r="I44" s="5" t="n">
        <v>453900</v>
      </c>
      <c r="J44" s="5" t="n">
        <v>322187.01</v>
      </c>
      <c r="K44" s="5" t="n">
        <v>278794.4</v>
      </c>
      <c r="L44" s="5" t="n">
        <v>43392.61</v>
      </c>
      <c r="M44" s="5" t="n">
        <v>359994.61</v>
      </c>
      <c r="N44" s="5" t="n">
        <v>-37807.59999999998</v>
      </c>
      <c r="O44" s="6" t="n">
        <v>1</v>
      </c>
      <c r="P44" s="6" t="n">
        <v>1.1173</v>
      </c>
    </row>
    <row r="45">
      <c r="A45" s="4" t="inlineStr">
        <is>
          <t>24-PC-40659</t>
        </is>
      </c>
      <c r="B45" s="4" t="inlineStr">
        <is>
          <t>Phase III: Meadowlark Water Main Built Environment Survey</t>
        </is>
      </c>
      <c r="C45" s="4" t="inlineStr">
        <is>
          <t>Cost Tracking on Closed Project</t>
        </is>
      </c>
      <c r="D45" s="4" t="inlineStr">
        <is>
          <t>Fixed fee</t>
        </is>
      </c>
      <c r="E45" s="4" t="inlineStr">
        <is>
          <t>Sierra North</t>
        </is>
      </c>
      <c r="F45" s="4" t="inlineStr">
        <is>
          <t>Louis Huff</t>
        </is>
      </c>
      <c r="G45" s="5" t="n">
        <v>50300</v>
      </c>
      <c r="H45" s="5" t="n">
        <v>46200.55</v>
      </c>
      <c r="I45" s="5" t="n">
        <v>46200.55</v>
      </c>
      <c r="J45" s="5" t="n">
        <v>35350.84</v>
      </c>
      <c r="K45" s="5" t="n">
        <v>35350.84</v>
      </c>
      <c r="L45" s="5" t="n">
        <v>0</v>
      </c>
      <c r="M45" s="5" t="n">
        <v>32471.24</v>
      </c>
      <c r="N45" s="5" t="n">
        <v>2879.599999999995</v>
      </c>
      <c r="O45" s="6" t="n">
        <v>0.918</v>
      </c>
      <c r="P45" s="6" t="n">
        <v>0.9185</v>
      </c>
    </row>
    <row r="46">
      <c r="A46" s="4" t="inlineStr">
        <is>
          <t>24-PC-40888</t>
        </is>
      </c>
      <c r="B46" s="4" t="inlineStr">
        <is>
          <t>Pine Hollow Battery Storage - Archaeological Testing</t>
        </is>
      </c>
      <c r="C46" s="4" t="inlineStr">
        <is>
          <t>Lab/Curation</t>
        </is>
      </c>
      <c r="D46" s="4" t="inlineStr">
        <is>
          <t>Fixed fee</t>
        </is>
      </c>
      <c r="E46" s="4" t="inlineStr">
        <is>
          <t>Coastal Bend</t>
        </is>
      </c>
      <c r="F46" s="4" t="inlineStr">
        <is>
          <t>Diane Daniels</t>
        </is>
      </c>
      <c r="G46" s="5" t="n">
        <v>579300</v>
      </c>
      <c r="H46" s="5" t="n">
        <v>579300</v>
      </c>
      <c r="I46" s="5" t="n">
        <v>579300</v>
      </c>
      <c r="J46" s="5" t="n">
        <v>392475.75</v>
      </c>
      <c r="K46" s="5" t="n">
        <v>392475.75</v>
      </c>
      <c r="L46" s="5" t="n">
        <v>0</v>
      </c>
      <c r="M46" s="5" t="n">
        <v>413750.74</v>
      </c>
      <c r="N46" s="5" t="n">
        <v>-21274.98999999999</v>
      </c>
      <c r="O46" s="6" t="n">
        <v>1</v>
      </c>
      <c r="P46" s="6" t="n">
        <v>1.0542</v>
      </c>
    </row>
    <row r="47">
      <c r="A47" s="4" t="inlineStr">
        <is>
          <t>24-PC-41154</t>
        </is>
      </c>
      <c r="B47" s="4" t="inlineStr">
        <is>
          <t>Lantern Bay Mine Expansion Data Recovery</t>
        </is>
      </c>
      <c r="C47" s="4" t="inlineStr">
        <is>
          <t>In Progress</t>
        </is>
      </c>
      <c r="D47" s="4" t="inlineStr">
        <is>
          <t>Fixed fee</t>
        </is>
      </c>
      <c r="E47" s="4" t="inlineStr">
        <is>
          <t>Coastal Bend</t>
        </is>
      </c>
      <c r="F47" s="4" t="inlineStr">
        <is>
          <t>Alexis Nixon</t>
        </is>
      </c>
      <c r="G47" s="5" t="n">
        <v>194900</v>
      </c>
      <c r="H47" s="5" t="n">
        <v>187591.25</v>
      </c>
      <c r="I47" s="5" t="n">
        <v>187591.25</v>
      </c>
      <c r="J47" s="5" t="n">
        <v>131089.74</v>
      </c>
      <c r="K47" s="5" t="n">
        <v>131089.74</v>
      </c>
      <c r="L47" s="5" t="n">
        <v>0</v>
      </c>
      <c r="M47" s="5" t="n">
        <v>126178.41</v>
      </c>
      <c r="N47" s="5" t="n">
        <v>4911.329999999987</v>
      </c>
      <c r="O47" s="6" t="n">
        <v>0.963</v>
      </c>
      <c r="P47" s="6" t="n">
        <v>0.9625</v>
      </c>
    </row>
    <row r="48">
      <c r="A48" s="4" t="inlineStr">
        <is>
          <t>24-PC-42437</t>
        </is>
      </c>
      <c r="B48" s="4" t="inlineStr">
        <is>
          <t>Task Order 36: Wren Hollow Water Main Maritime Remote Sensing Survey</t>
        </is>
      </c>
      <c r="C48" s="4" t="inlineStr">
        <is>
          <t>In Progress</t>
        </is>
      </c>
      <c r="D48" s="4" t="inlineStr">
        <is>
          <t>Time and material</t>
        </is>
      </c>
      <c r="E48" s="4" t="inlineStr">
        <is>
          <t>Paleontology</t>
        </is>
      </c>
      <c r="F48" s="4" t="inlineStr">
        <is>
          <t>Charlene Sparks</t>
        </is>
      </c>
      <c r="G48" s="5" t="n">
        <v>263500</v>
      </c>
      <c r="H48" s="5" t="n">
        <v>179180</v>
      </c>
      <c r="I48" s="5" t="n">
        <v>179180</v>
      </c>
      <c r="J48" s="5" t="n">
        <v>173567.45</v>
      </c>
      <c r="K48" s="5" t="n">
        <v>173567.45</v>
      </c>
      <c r="L48" s="5" t="n">
        <v>0</v>
      </c>
      <c r="M48" s="5" t="n">
        <v>177335</v>
      </c>
      <c r="N48" s="5" t="n">
        <v>-3767.549999999988</v>
      </c>
      <c r="O48" s="6" t="n">
        <v>0.68</v>
      </c>
      <c r="P48" s="6" t="n">
        <v>1.0217</v>
      </c>
    </row>
    <row r="49">
      <c r="A49" s="4" t="inlineStr">
        <is>
          <t>24-PC-44113</t>
        </is>
      </c>
      <c r="B49" s="4" t="inlineStr">
        <is>
          <t>Cedar Hollow Airport Apron - Paleontological Monitoring</t>
        </is>
      </c>
      <c r="C49" s="4" t="inlineStr">
        <is>
          <t>Transferred Entity</t>
        </is>
      </c>
      <c r="D49" s="4" t="inlineStr">
        <is>
          <t>Time and material</t>
        </is>
      </c>
      <c r="E49" s="4" t="inlineStr">
        <is>
          <t>NH Gulf (USD)</t>
        </is>
      </c>
      <c r="F49" s="4" t="inlineStr">
        <is>
          <t>Susan Wilkins</t>
        </is>
      </c>
      <c r="G49" s="5" t="n">
        <v>264500</v>
      </c>
      <c r="H49" s="5" t="n">
        <v>264500</v>
      </c>
      <c r="I49" s="5" t="n">
        <v>256769.1786666667</v>
      </c>
      <c r="J49" s="5" t="n">
        <v>194222.35</v>
      </c>
      <c r="K49" s="5" t="n">
        <v>194222.35</v>
      </c>
      <c r="L49" s="5" t="n">
        <v>0</v>
      </c>
      <c r="M49" s="5" t="n">
        <v>246339.6193333333</v>
      </c>
      <c r="N49" s="5" t="n">
        <v>-52117.26933333333</v>
      </c>
      <c r="O49" s="6" t="n">
        <v>1</v>
      </c>
      <c r="P49" s="6" t="n">
        <v>1.26833816671116</v>
      </c>
    </row>
    <row r="50">
      <c r="A50" s="4" t="inlineStr">
        <is>
          <t>25-PC-30772</t>
        </is>
      </c>
      <c r="B50" s="4" t="inlineStr">
        <is>
          <t>Sea Oat Cultural Resources Assessment</t>
        </is>
      </c>
      <c r="C50" s="4" t="inlineStr">
        <is>
          <t>In Progress</t>
        </is>
      </c>
      <c r="D50" s="4" t="inlineStr">
        <is>
          <t>Fixed fee</t>
        </is>
      </c>
      <c r="E50" s="4" t="inlineStr">
        <is>
          <t>Bluegrass</t>
        </is>
      </c>
      <c r="F50" s="4" t="inlineStr">
        <is>
          <t>Alice Galloway</t>
        </is>
      </c>
      <c r="G50" s="5" t="n">
        <v>63300</v>
      </c>
      <c r="H50" s="5" t="n">
        <v>63300</v>
      </c>
      <c r="I50" s="5" t="n">
        <v>63300</v>
      </c>
      <c r="J50" s="5" t="n">
        <v>43065.84</v>
      </c>
      <c r="K50" s="5" t="n">
        <v>35870.85</v>
      </c>
      <c r="L50" s="5" t="n">
        <v>7194.99</v>
      </c>
      <c r="M50" s="5" t="n">
        <v>56416.91</v>
      </c>
      <c r="N50" s="5" t="n">
        <v>-13351.07000000001</v>
      </c>
      <c r="O50" s="6" t="n">
        <v>1</v>
      </c>
      <c r="P50" s="6" t="n">
        <v>1.31</v>
      </c>
    </row>
    <row r="51">
      <c r="A51" s="4" t="inlineStr">
        <is>
          <t>25-PC-30803</t>
        </is>
      </c>
      <c r="B51" s="4" t="inlineStr">
        <is>
          <t>Saltgrass Cell Tower Built Environment Survey</t>
        </is>
      </c>
      <c r="C51" s="4" t="inlineStr">
        <is>
          <t>In Progress</t>
        </is>
      </c>
      <c r="D51" s="4" t="inlineStr">
        <is>
          <t>Fixed fee</t>
        </is>
      </c>
      <c r="E51" s="4" t="inlineStr">
        <is>
          <t>Bluegrass</t>
        </is>
      </c>
      <c r="F51" s="4" t="inlineStr">
        <is>
          <t>Alice Galloway</t>
        </is>
      </c>
      <c r="G51" s="5" t="n">
        <v>131000</v>
      </c>
      <c r="H51" s="5" t="n">
        <v>131000</v>
      </c>
      <c r="I51" s="5" t="n">
        <v>122522.64</v>
      </c>
      <c r="J51" s="5" t="n">
        <v>85464.39999999999</v>
      </c>
      <c r="K51" s="5" t="n">
        <v>85464.39999999999</v>
      </c>
      <c r="L51" s="5" t="n">
        <v>0</v>
      </c>
      <c r="M51" s="5" t="n">
        <v>90183.89999999999</v>
      </c>
      <c r="N51" s="5" t="n">
        <v>-4719.5</v>
      </c>
      <c r="O51" s="6" t="n">
        <v>1</v>
      </c>
      <c r="P51" s="6" t="n">
        <v>1.0552</v>
      </c>
    </row>
    <row r="52">
      <c r="A52" s="4" t="inlineStr">
        <is>
          <t>25-PC-31109</t>
        </is>
      </c>
      <c r="B52" s="4" t="inlineStr">
        <is>
          <t>Riverbend GIS Mapping</t>
        </is>
      </c>
      <c r="C52" s="4" t="inlineStr">
        <is>
          <t>In Progress</t>
        </is>
      </c>
      <c r="D52" s="4" t="inlineStr">
        <is>
          <t>Time and material</t>
        </is>
      </c>
      <c r="E52" s="4" t="inlineStr">
        <is>
          <t>Cascade</t>
        </is>
      </c>
      <c r="F52" s="4" t="inlineStr">
        <is>
          <t>Cassidy Gay</t>
        </is>
      </c>
      <c r="G52" s="5" t="n">
        <v>174700</v>
      </c>
      <c r="H52" s="5" t="n">
        <v>174700</v>
      </c>
      <c r="I52" s="5" t="n">
        <v>154905.3</v>
      </c>
      <c r="J52" s="5" t="n">
        <v>109484.49</v>
      </c>
      <c r="K52" s="5" t="n">
        <v>109484.49</v>
      </c>
      <c r="L52" s="5" t="n">
        <v>0</v>
      </c>
      <c r="M52" s="5" t="n">
        <v>162892.26</v>
      </c>
      <c r="N52" s="5" t="n">
        <v>-53407.77</v>
      </c>
      <c r="O52" s="6" t="n">
        <v>1</v>
      </c>
      <c r="P52" s="6" t="n">
        <v>1.4878</v>
      </c>
    </row>
    <row r="53">
      <c r="A53" s="4" t="inlineStr">
        <is>
          <t>25-PC-31180</t>
        </is>
      </c>
      <c r="B53" s="4" t="inlineStr">
        <is>
          <t>Blue Heron Environmental Review Support</t>
        </is>
      </c>
      <c r="C53" s="4" t="inlineStr">
        <is>
          <t>In Progress</t>
        </is>
      </c>
      <c r="D53" s="4" t="inlineStr">
        <is>
          <t>Fixed fee</t>
        </is>
      </c>
      <c r="E53" s="4" t="inlineStr">
        <is>
          <t>Cascade</t>
        </is>
      </c>
      <c r="F53" s="4" t="inlineStr">
        <is>
          <t>Preston Duarte</t>
        </is>
      </c>
      <c r="G53" s="5" t="n">
        <v>80000</v>
      </c>
      <c r="H53" s="5" t="n">
        <v>80000</v>
      </c>
      <c r="I53" s="5" t="n">
        <v>69747.42999999999</v>
      </c>
      <c r="J53" s="5" t="n">
        <v>60701.89</v>
      </c>
      <c r="K53" s="5" t="n">
        <v>45712.3</v>
      </c>
      <c r="L53" s="5" t="n">
        <v>14989.59</v>
      </c>
      <c r="M53" s="5" t="n">
        <v>64096.36</v>
      </c>
      <c r="N53" s="5" t="n">
        <v>-3394.470000000001</v>
      </c>
      <c r="O53" s="6" t="n">
        <v>1</v>
      </c>
      <c r="P53" s="6" t="n">
        <v>1.0559</v>
      </c>
    </row>
    <row r="54">
      <c r="A54" s="4" t="inlineStr">
        <is>
          <t>25-PC-31417</t>
        </is>
      </c>
      <c r="B54" s="4" t="inlineStr">
        <is>
          <t>Sandpiper Park Improvements Phase I Survey</t>
        </is>
      </c>
      <c r="C54" s="4" t="inlineStr">
        <is>
          <t>In Progress</t>
        </is>
      </c>
      <c r="D54" s="4" t="inlineStr">
        <is>
          <t>Fixed fee</t>
        </is>
      </c>
      <c r="E54" s="4" t="inlineStr">
        <is>
          <t>Cascade</t>
        </is>
      </c>
      <c r="F54" s="4" t="inlineStr">
        <is>
          <t>Cassidy Gay</t>
        </is>
      </c>
      <c r="G54" s="5" t="n">
        <v>52000</v>
      </c>
      <c r="H54" s="5" t="n">
        <v>52000</v>
      </c>
      <c r="I54" s="5" t="n">
        <v>49983.77</v>
      </c>
      <c r="J54" s="5" t="n">
        <v>38781.6</v>
      </c>
      <c r="K54" s="5" t="n">
        <v>38781.6</v>
      </c>
      <c r="L54" s="5" t="n">
        <v>0</v>
      </c>
      <c r="M54" s="5" t="n">
        <v>51500.29</v>
      </c>
      <c r="N54" s="5" t="n">
        <v>-12718.69</v>
      </c>
      <c r="O54" s="6" t="n">
        <v>1</v>
      </c>
      <c r="P54" s="6" t="n">
        <v>1.328</v>
      </c>
    </row>
    <row r="55">
      <c r="A55" s="4" t="inlineStr">
        <is>
          <t>25-PC-31555</t>
        </is>
      </c>
      <c r="B55" s="4" t="inlineStr">
        <is>
          <t>Wren Hollow Architectural History Survey</t>
        </is>
      </c>
      <c r="C55" s="4" t="inlineStr">
        <is>
          <t>In Progress</t>
        </is>
      </c>
      <c r="D55" s="4" t="inlineStr">
        <is>
          <t>Fixed fee</t>
        </is>
      </c>
      <c r="E55" s="4" t="inlineStr">
        <is>
          <t>Cascade</t>
        </is>
      </c>
      <c r="F55" s="4" t="inlineStr">
        <is>
          <t>Gene Nixon</t>
        </is>
      </c>
      <c r="G55" s="5" t="n">
        <v>69300</v>
      </c>
      <c r="H55" s="5" t="n">
        <v>66417.12</v>
      </c>
      <c r="I55" s="5" t="n">
        <v>60877.3</v>
      </c>
      <c r="J55" s="5" t="n">
        <v>53097.66</v>
      </c>
      <c r="K55" s="5" t="n">
        <v>53097.66</v>
      </c>
      <c r="L55" s="5" t="n">
        <v>0</v>
      </c>
      <c r="M55" s="5" t="n">
        <v>50888.1</v>
      </c>
      <c r="N55" s="5" t="n">
        <v>2209.560000000005</v>
      </c>
      <c r="O55" s="6" t="n">
        <v>0.958</v>
      </c>
      <c r="P55" s="6" t="n">
        <v>0.9584</v>
      </c>
    </row>
    <row r="56">
      <c r="A56" s="4" t="inlineStr">
        <is>
          <t>25-PC-31784</t>
        </is>
      </c>
      <c r="B56" s="4" t="inlineStr">
        <is>
          <t>On-Call: Badger Hollow Pipeline Archaeological Testing</t>
        </is>
      </c>
      <c r="C56" s="4" t="inlineStr">
        <is>
          <t>In Progress</t>
        </is>
      </c>
      <c r="D56" s="4" t="inlineStr">
        <is>
          <t>Fixed fee</t>
        </is>
      </c>
      <c r="E56" s="4" t="inlineStr">
        <is>
          <t>Cascade</t>
        </is>
      </c>
      <c r="F56" s="4" t="inlineStr">
        <is>
          <t>Preston Duarte</t>
        </is>
      </c>
      <c r="G56" s="5" t="n">
        <v>216800</v>
      </c>
      <c r="H56" s="5" t="n">
        <v>216800</v>
      </c>
      <c r="I56" s="5" t="n">
        <v>202009.7</v>
      </c>
      <c r="J56" s="5" t="n">
        <v>171337.04</v>
      </c>
      <c r="K56" s="5" t="n">
        <v>171337.04</v>
      </c>
      <c r="L56" s="5" t="n">
        <v>0</v>
      </c>
      <c r="M56" s="5" t="n">
        <v>185663.62</v>
      </c>
      <c r="N56" s="5" t="n">
        <v>-14326.57999999999</v>
      </c>
      <c r="O56" s="6" t="n">
        <v>1</v>
      </c>
      <c r="P56" s="6" t="n">
        <v>1.0836</v>
      </c>
    </row>
    <row r="57">
      <c r="A57" s="4" t="inlineStr">
        <is>
          <t>25-PC-32323</t>
        </is>
      </c>
      <c r="B57" s="4" t="inlineStr">
        <is>
          <t>Hackberry Bend Canal Lining Data Recovery</t>
        </is>
      </c>
      <c r="C57" s="4" t="inlineStr">
        <is>
          <t>In Progress</t>
        </is>
      </c>
      <c r="D57" s="4" t="inlineStr">
        <is>
          <t>Time and material</t>
        </is>
      </c>
      <c r="E57" s="4" t="inlineStr">
        <is>
          <t>Chesapeake</t>
        </is>
      </c>
      <c r="F57" s="4" t="inlineStr">
        <is>
          <t>Ian Maddox</t>
        </is>
      </c>
      <c r="G57" s="5" t="n">
        <v>201300</v>
      </c>
      <c r="H57" s="5" t="n">
        <v>196916.6</v>
      </c>
      <c r="I57" s="5" t="n">
        <v>185059.24</v>
      </c>
      <c r="J57" s="5" t="n">
        <v>150874.35</v>
      </c>
      <c r="K57" s="5" t="n">
        <v>150874.35</v>
      </c>
      <c r="L57" s="5" t="n">
        <v>0</v>
      </c>
      <c r="M57" s="5" t="n">
        <v>161800.48</v>
      </c>
      <c r="N57" s="5" t="n">
        <v>-10926.13</v>
      </c>
      <c r="O57" s="6" t="n">
        <v>0.978</v>
      </c>
      <c r="P57" s="6" t="n">
        <v>1.0724</v>
      </c>
    </row>
    <row r="58">
      <c r="A58" s="4" t="inlineStr">
        <is>
          <t>25-PC-32447</t>
        </is>
      </c>
      <c r="B58" s="4" t="inlineStr">
        <is>
          <t>Pebble Beach Road Archaeological Testing</t>
        </is>
      </c>
      <c r="C58" s="4" t="inlineStr">
        <is>
          <t>In Progress</t>
        </is>
      </c>
      <c r="D58" s="4" t="inlineStr">
        <is>
          <t>Fixed fee</t>
        </is>
      </c>
      <c r="E58" s="4" t="inlineStr">
        <is>
          <t>Chesapeake</t>
        </is>
      </c>
      <c r="F58" s="4" t="inlineStr">
        <is>
          <t>Alexandria Wilkinson</t>
        </is>
      </c>
      <c r="G58" s="5" t="n">
        <v>88200</v>
      </c>
      <c r="H58" s="5" t="n">
        <v>88200</v>
      </c>
      <c r="I58" s="5" t="n">
        <v>88200</v>
      </c>
      <c r="J58" s="5" t="n">
        <v>61772.24</v>
      </c>
      <c r="K58" s="5" t="n">
        <v>55626.38</v>
      </c>
      <c r="L58" s="5" t="n">
        <v>6145.86</v>
      </c>
      <c r="M58" s="5" t="n">
        <v>76703.23</v>
      </c>
      <c r="N58" s="5" t="n">
        <v>-14930.99</v>
      </c>
      <c r="O58" s="6" t="n">
        <v>1</v>
      </c>
      <c r="P58" s="6" t="n">
        <v>1.2417</v>
      </c>
    </row>
    <row r="59">
      <c r="A59" s="4" t="inlineStr">
        <is>
          <t>25-PC-32495</t>
        </is>
      </c>
      <c r="B59" s="4" t="inlineStr">
        <is>
          <t>Oak Terrace Canal Lining - Phase I Survey</t>
        </is>
      </c>
      <c r="C59" s="4" t="inlineStr">
        <is>
          <t>In Progress</t>
        </is>
      </c>
      <c r="D59" s="4" t="inlineStr">
        <is>
          <t>Time and material</t>
        </is>
      </c>
      <c r="E59" s="4" t="inlineStr">
        <is>
          <t>Chesapeake</t>
        </is>
      </c>
      <c r="F59" s="4" t="inlineStr">
        <is>
          <t>Sandy Kerr</t>
        </is>
      </c>
      <c r="G59" s="5" t="n">
        <v>118800</v>
      </c>
      <c r="H59" s="5" t="n">
        <v>118800</v>
      </c>
      <c r="I59" s="5" t="n">
        <v>111029.5</v>
      </c>
      <c r="J59" s="5" t="n">
        <v>85013.28</v>
      </c>
      <c r="K59" s="5" t="n">
        <v>85013.28</v>
      </c>
      <c r="L59" s="5" t="n">
        <v>0</v>
      </c>
      <c r="M59" s="5" t="n">
        <v>117591.53</v>
      </c>
      <c r="N59" s="5" t="n">
        <v>-32578.25</v>
      </c>
      <c r="O59" s="6" t="n">
        <v>1</v>
      </c>
      <c r="P59" s="6" t="n">
        <v>1.3832</v>
      </c>
    </row>
    <row r="60">
      <c r="A60" s="4" t="inlineStr">
        <is>
          <t>25-PC-32861</t>
        </is>
      </c>
      <c r="B60" s="4" t="inlineStr">
        <is>
          <t>Yarrow Point Architectural History Survey</t>
        </is>
      </c>
      <c r="C60" s="4" t="inlineStr">
        <is>
          <t>In Progress</t>
        </is>
      </c>
      <c r="D60" s="4" t="inlineStr">
        <is>
          <t>Fixed fee</t>
        </is>
      </c>
      <c r="E60" s="4" t="inlineStr">
        <is>
          <t>Front Range</t>
        </is>
      </c>
      <c r="F60" s="4" t="inlineStr">
        <is>
          <t>Dean Velazquez</t>
        </is>
      </c>
      <c r="G60" s="5" t="n">
        <v>59200</v>
      </c>
      <c r="H60" s="5" t="n">
        <v>59200</v>
      </c>
      <c r="I60" s="5" t="n">
        <v>54224.79</v>
      </c>
      <c r="J60" s="5" t="n">
        <v>41555.52</v>
      </c>
      <c r="K60" s="5" t="n">
        <v>31694.67</v>
      </c>
      <c r="L60" s="5" t="n">
        <v>9860.85</v>
      </c>
      <c r="M60" s="5" t="n">
        <v>49895.36</v>
      </c>
      <c r="N60" s="5" t="n">
        <v>-8339.840000000004</v>
      </c>
      <c r="O60" s="6" t="n">
        <v>1</v>
      </c>
      <c r="P60" s="6" t="n">
        <v>1.2007</v>
      </c>
    </row>
    <row r="61">
      <c r="A61" s="4" t="inlineStr">
        <is>
          <t>25-PC-32899</t>
        </is>
      </c>
      <c r="B61" s="4" t="inlineStr">
        <is>
          <t>Lone Pine Mixed-Use Development Phase I Survey</t>
        </is>
      </c>
      <c r="C61" s="4" t="inlineStr">
        <is>
          <t>In Progress</t>
        </is>
      </c>
      <c r="D61" s="4" t="inlineStr">
        <is>
          <t>Fixed fee</t>
        </is>
      </c>
      <c r="E61" s="4" t="inlineStr">
        <is>
          <t>Front Range</t>
        </is>
      </c>
      <c r="F61" s="4" t="inlineStr">
        <is>
          <t>Jeremy Tran</t>
        </is>
      </c>
      <c r="G61" s="5" t="n">
        <v>59600</v>
      </c>
      <c r="H61" s="5" t="n">
        <v>59600</v>
      </c>
      <c r="I61" s="5" t="n">
        <v>57228.13</v>
      </c>
      <c r="J61" s="5" t="n">
        <v>51399.04</v>
      </c>
      <c r="K61" s="5" t="n">
        <v>51399.04</v>
      </c>
      <c r="L61" s="5" t="n">
        <v>0</v>
      </c>
      <c r="M61" s="5" t="n">
        <v>74823.59</v>
      </c>
      <c r="N61" s="5" t="n">
        <v>-23424.55</v>
      </c>
      <c r="O61" s="6" t="n">
        <v>1</v>
      </c>
      <c r="P61" s="6" t="n">
        <v>1.4557</v>
      </c>
    </row>
    <row r="62">
      <c r="A62" s="4" t="inlineStr">
        <is>
          <t>25-PC-33065</t>
        </is>
      </c>
      <c r="B62" s="4" t="inlineStr">
        <is>
          <t>Wren Hollow GIS Mapping</t>
        </is>
      </c>
      <c r="C62" s="4" t="inlineStr">
        <is>
          <t>In Progress</t>
        </is>
      </c>
      <c r="D62" s="4" t="inlineStr">
        <is>
          <t>Fixed fee</t>
        </is>
      </c>
      <c r="E62" s="4" t="inlineStr">
        <is>
          <t>Front Range</t>
        </is>
      </c>
      <c r="F62" s="4" t="inlineStr">
        <is>
          <t>Dean Velazquez</t>
        </is>
      </c>
      <c r="G62" s="5" t="n">
        <v>50400</v>
      </c>
      <c r="H62" s="5" t="n">
        <v>45596.88</v>
      </c>
      <c r="I62" s="5" t="n">
        <v>45596.88</v>
      </c>
      <c r="J62" s="5" t="n">
        <v>40748.4</v>
      </c>
      <c r="K62" s="5" t="n">
        <v>40748.4</v>
      </c>
      <c r="L62" s="5" t="n">
        <v>0</v>
      </c>
      <c r="M62" s="5" t="n">
        <v>36866.22</v>
      </c>
      <c r="N62" s="5" t="n">
        <v>3882.18</v>
      </c>
      <c r="O62" s="6" t="n">
        <v>0.905</v>
      </c>
      <c r="P62" s="6" t="n">
        <v>0.9046999999999999</v>
      </c>
    </row>
    <row r="63">
      <c r="A63" s="4" t="inlineStr">
        <is>
          <t>25-PC-33183</t>
        </is>
      </c>
      <c r="B63" s="4" t="inlineStr">
        <is>
          <t>Saltgrass Architectural History Survey</t>
        </is>
      </c>
      <c r="C63" s="4" t="inlineStr">
        <is>
          <t>In Progress</t>
        </is>
      </c>
      <c r="D63" s="4" t="inlineStr">
        <is>
          <t>Fixed fee</t>
        </is>
      </c>
      <c r="E63" s="4" t="inlineStr">
        <is>
          <t>Front Range</t>
        </is>
      </c>
      <c r="F63" s="4" t="inlineStr">
        <is>
          <t>Dean Velazquez</t>
        </is>
      </c>
      <c r="G63" s="5" t="n">
        <v>104500</v>
      </c>
      <c r="H63" s="5" t="n">
        <v>101009.7</v>
      </c>
      <c r="I63" s="5" t="n">
        <v>95400.33</v>
      </c>
      <c r="J63" s="5" t="n">
        <v>79399.10000000001</v>
      </c>
      <c r="K63" s="5" t="n">
        <v>79399.10000000001</v>
      </c>
      <c r="L63" s="5" t="n">
        <v>0</v>
      </c>
      <c r="M63" s="5" t="n">
        <v>76745.42999999999</v>
      </c>
      <c r="N63" s="5" t="n">
        <v>2653.670000000013</v>
      </c>
      <c r="O63" s="6" t="n">
        <v>0.967</v>
      </c>
      <c r="P63" s="6" t="n">
        <v>0.9666</v>
      </c>
    </row>
    <row r="64">
      <c r="A64" s="4" t="inlineStr">
        <is>
          <t>25-PC-33750</t>
        </is>
      </c>
      <c r="B64" s="4" t="inlineStr">
        <is>
          <t>Kestrel Butte Archaeological Testing</t>
        </is>
      </c>
      <c r="C64" s="4" t="inlineStr">
        <is>
          <t>Transferred Entity</t>
        </is>
      </c>
      <c r="D64" s="4" t="inlineStr">
        <is>
          <t>Fixed fee</t>
        </is>
      </c>
      <c r="E64" s="4" t="inlineStr">
        <is>
          <t>Great Lakes</t>
        </is>
      </c>
      <c r="F64" s="4" t="inlineStr">
        <is>
          <t>Kathleen Galvan</t>
        </is>
      </c>
      <c r="G64" s="5" t="n">
        <v>69600</v>
      </c>
      <c r="H64" s="5" t="n">
        <v>69600</v>
      </c>
      <c r="I64" s="5" t="n">
        <v>64460.42</v>
      </c>
      <c r="J64" s="5" t="n">
        <v>51302.16</v>
      </c>
      <c r="K64" s="5" t="n">
        <v>51302.16</v>
      </c>
      <c r="L64" s="5" t="n">
        <v>0</v>
      </c>
      <c r="M64" s="5" t="n">
        <v>60286.74</v>
      </c>
      <c r="N64" s="5" t="n">
        <v>-8984.579999999994</v>
      </c>
      <c r="O64" s="6" t="n">
        <v>1</v>
      </c>
      <c r="P64" s="6" t="n">
        <v>1.1751</v>
      </c>
    </row>
    <row r="65">
      <c r="A65" s="4" t="inlineStr">
        <is>
          <t>25-PC-34176</t>
        </is>
      </c>
      <c r="B65" s="4" t="inlineStr">
        <is>
          <t>Meadowlark Mixed-Use Development - Historic Resources Evaluation</t>
        </is>
      </c>
      <c r="C65" s="4" t="inlineStr">
        <is>
          <t>In Progress</t>
        </is>
      </c>
      <c r="D65" s="4" t="inlineStr">
        <is>
          <t>Time and material</t>
        </is>
      </c>
      <c r="E65" s="4" t="inlineStr">
        <is>
          <t>Great Lakes</t>
        </is>
      </c>
      <c r="F65" s="4" t="inlineStr">
        <is>
          <t>Geoffrey Fernandez</t>
        </is>
      </c>
      <c r="G65" s="5" t="n">
        <v>53000</v>
      </c>
      <c r="H65" s="5" t="n">
        <v>53000</v>
      </c>
      <c r="I65" s="5" t="n">
        <v>53000</v>
      </c>
      <c r="J65" s="5" t="n">
        <v>36718.4</v>
      </c>
      <c r="K65" s="5" t="n">
        <v>36718.4</v>
      </c>
      <c r="L65" s="5" t="n">
        <v>0</v>
      </c>
      <c r="M65" s="5" t="n">
        <v>42629.29</v>
      </c>
      <c r="N65" s="5" t="n">
        <v>-5910.889999999999</v>
      </c>
      <c r="O65" s="6" t="n">
        <v>1</v>
      </c>
      <c r="P65" s="6" t="n">
        <v>1.161</v>
      </c>
    </row>
    <row r="66">
      <c r="A66" s="4" t="inlineStr">
        <is>
          <t>25-PC-34780</t>
        </is>
      </c>
      <c r="B66" s="4" t="inlineStr">
        <is>
          <t>Sumac Ridge Canal Lining Paleontological Monitoring</t>
        </is>
      </c>
      <c r="C66" s="4" t="inlineStr">
        <is>
          <t>In Progress</t>
        </is>
      </c>
      <c r="D66" s="4" t="inlineStr">
        <is>
          <t>Time and material</t>
        </is>
      </c>
      <c r="E66" s="4" t="inlineStr">
        <is>
          <t>Great Lakes</t>
        </is>
      </c>
      <c r="F66" s="4" t="inlineStr">
        <is>
          <t>Gina Beltran</t>
        </is>
      </c>
      <c r="G66" s="5" t="n">
        <v>82200</v>
      </c>
      <c r="H66" s="5" t="n">
        <v>82200</v>
      </c>
      <c r="I66" s="5" t="n">
        <v>65071.92</v>
      </c>
      <c r="J66" s="5" t="n">
        <v>51638.04</v>
      </c>
      <c r="K66" s="5" t="n">
        <v>51638.04</v>
      </c>
      <c r="L66" s="5" t="n">
        <v>0</v>
      </c>
      <c r="M66" s="5" t="n">
        <v>83204.3</v>
      </c>
      <c r="N66" s="5" t="n">
        <v>-31566.26</v>
      </c>
      <c r="O66" s="6" t="n">
        <v>1</v>
      </c>
      <c r="P66" s="6" t="n">
        <v>1.6113</v>
      </c>
    </row>
    <row r="67">
      <c r="A67" s="4" t="inlineStr">
        <is>
          <t>25-PC-35040</t>
        </is>
      </c>
      <c r="B67" s="4" t="inlineStr">
        <is>
          <t>Hackberry Bend Rail Siding Class III Survey</t>
        </is>
      </c>
      <c r="C67" s="4" t="inlineStr">
        <is>
          <t>In Progress</t>
        </is>
      </c>
      <c r="D67" s="4" t="inlineStr">
        <is>
          <t>Time and material</t>
        </is>
      </c>
      <c r="E67" s="4" t="inlineStr">
        <is>
          <t>Gulf Coast East</t>
        </is>
      </c>
      <c r="F67" s="4" t="inlineStr">
        <is>
          <t>Bernard Erickson</t>
        </is>
      </c>
      <c r="G67" s="5" t="n">
        <v>71400</v>
      </c>
      <c r="H67" s="5" t="n">
        <v>71400</v>
      </c>
      <c r="I67" s="5" t="n">
        <v>71400</v>
      </c>
      <c r="J67" s="5" t="n">
        <v>48880.44</v>
      </c>
      <c r="K67" s="5" t="n">
        <v>48880.44</v>
      </c>
      <c r="L67" s="5" t="n">
        <v>0</v>
      </c>
      <c r="M67" s="5" t="n">
        <v>56947.79</v>
      </c>
      <c r="N67" s="5" t="n">
        <v>-8067.349999999999</v>
      </c>
      <c r="O67" s="6" t="n">
        <v>1</v>
      </c>
      <c r="P67" s="6" t="n">
        <v>1.165</v>
      </c>
    </row>
    <row r="68">
      <c r="A68" s="4" t="inlineStr">
        <is>
          <t>25-PC-35485</t>
        </is>
      </c>
      <c r="B68" s="4" t="inlineStr">
        <is>
          <t>Wren Hollow Transmission Line - Phase I Survey</t>
        </is>
      </c>
      <c r="C68" s="4" t="inlineStr">
        <is>
          <t>In Progress</t>
        </is>
      </c>
      <c r="D68" s="4" t="inlineStr">
        <is>
          <t>Time and material</t>
        </is>
      </c>
      <c r="E68" s="4" t="inlineStr">
        <is>
          <t>High Desert</t>
        </is>
      </c>
      <c r="F68" s="4" t="inlineStr">
        <is>
          <t>Kathy Hurley</t>
        </is>
      </c>
      <c r="G68" s="5" t="n">
        <v>136900</v>
      </c>
      <c r="H68" s="5" t="n">
        <v>136900</v>
      </c>
      <c r="I68" s="5" t="n">
        <v>132838.07</v>
      </c>
      <c r="J68" s="5" t="n">
        <v>90994.45</v>
      </c>
      <c r="K68" s="5" t="n">
        <v>78522.66</v>
      </c>
      <c r="L68" s="5" t="n">
        <v>12471.79</v>
      </c>
      <c r="M68" s="5" t="n">
        <v>119032.95</v>
      </c>
      <c r="N68" s="5" t="n">
        <v>-28038.5</v>
      </c>
      <c r="O68" s="6" t="n">
        <v>1</v>
      </c>
      <c r="P68" s="6" t="n">
        <v>1.3081</v>
      </c>
    </row>
    <row r="69">
      <c r="A69" s="4" t="inlineStr">
        <is>
          <t>25-PC-35761</t>
        </is>
      </c>
      <c r="B69" s="4" t="inlineStr">
        <is>
          <t>Hackberry Bend Transmission Line Archaeological Testing</t>
        </is>
      </c>
      <c r="C69" s="4" t="inlineStr">
        <is>
          <t>In Progress</t>
        </is>
      </c>
      <c r="D69" s="4" t="inlineStr">
        <is>
          <t>Fixed fee</t>
        </is>
      </c>
      <c r="E69" s="4" t="inlineStr">
        <is>
          <t>High Desert</t>
        </is>
      </c>
      <c r="F69" s="4" t="inlineStr">
        <is>
          <t>Kathy Hurley</t>
        </is>
      </c>
      <c r="G69" s="5" t="n">
        <v>204800</v>
      </c>
      <c r="H69" s="5" t="n">
        <v>204800</v>
      </c>
      <c r="I69" s="5" t="n">
        <v>187347.98</v>
      </c>
      <c r="J69" s="5" t="n">
        <v>136396.8</v>
      </c>
      <c r="K69" s="5" t="n">
        <v>136396.8</v>
      </c>
      <c r="L69" s="5" t="n">
        <v>0</v>
      </c>
      <c r="M69" s="5" t="n">
        <v>140077.69</v>
      </c>
      <c r="N69" s="5" t="n">
        <v>-3680.890000000014</v>
      </c>
      <c r="O69" s="6" t="n">
        <v>1</v>
      </c>
      <c r="P69" s="6" t="n">
        <v>1.027</v>
      </c>
    </row>
    <row r="70">
      <c r="A70" s="4" t="inlineStr">
        <is>
          <t>25-PC-35897</t>
        </is>
      </c>
      <c r="B70" s="4" t="inlineStr">
        <is>
          <t>Phase I: Riverbend Wastewater Plant Class III Survey</t>
        </is>
      </c>
      <c r="C70" s="4" t="inlineStr">
        <is>
          <t>In Progress</t>
        </is>
      </c>
      <c r="D70" s="4" t="inlineStr">
        <is>
          <t>Fixed fee</t>
        </is>
      </c>
      <c r="E70" s="4" t="inlineStr">
        <is>
          <t>High Desert</t>
        </is>
      </c>
      <c r="F70" s="4" t="inlineStr">
        <is>
          <t>Jody Wang</t>
        </is>
      </c>
      <c r="G70" s="5" t="n">
        <v>83700</v>
      </c>
      <c r="H70" s="5" t="n">
        <v>76761.27</v>
      </c>
      <c r="I70" s="5" t="n">
        <v>76761.27</v>
      </c>
      <c r="J70" s="5" t="n">
        <v>61050.78</v>
      </c>
      <c r="K70" s="5" t="n">
        <v>61050.78</v>
      </c>
      <c r="L70" s="5" t="n">
        <v>0</v>
      </c>
      <c r="M70" s="5" t="n">
        <v>55992.16</v>
      </c>
      <c r="N70" s="5" t="n">
        <v>5058.619999999995</v>
      </c>
      <c r="O70" s="6" t="n">
        <v>0.917</v>
      </c>
      <c r="P70" s="6" t="n">
        <v>0.9171</v>
      </c>
    </row>
    <row r="71">
      <c r="A71" s="4" t="inlineStr">
        <is>
          <t>25-PC-35963</t>
        </is>
      </c>
      <c r="B71" s="4" t="inlineStr">
        <is>
          <t>Quail Run Substation - Section 106 Consultation</t>
        </is>
      </c>
      <c r="C71" s="4" t="inlineStr">
        <is>
          <t>In Progress</t>
        </is>
      </c>
      <c r="D71" s="4" t="inlineStr">
        <is>
          <t>Time and material</t>
        </is>
      </c>
      <c r="E71" s="4" t="inlineStr">
        <is>
          <t>High Desert</t>
        </is>
      </c>
      <c r="F71" s="4" t="inlineStr">
        <is>
          <t>Kathy Hurley</t>
        </is>
      </c>
      <c r="G71" s="5" t="n">
        <v>320000</v>
      </c>
      <c r="H71" s="5" t="n">
        <v>290771</v>
      </c>
      <c r="I71" s="5" t="n">
        <v>290771</v>
      </c>
      <c r="J71" s="5" t="n">
        <v>216192</v>
      </c>
      <c r="K71" s="5" t="n">
        <v>216192</v>
      </c>
      <c r="L71" s="5" t="n">
        <v>0</v>
      </c>
      <c r="M71" s="5" t="n">
        <v>202041.59</v>
      </c>
      <c r="N71" s="5" t="n">
        <v>14150.41</v>
      </c>
      <c r="O71" s="6" t="n">
        <v>0.909</v>
      </c>
      <c r="P71" s="6" t="n">
        <v>0.9345</v>
      </c>
    </row>
    <row r="72">
      <c r="A72" s="4" t="inlineStr">
        <is>
          <t>25-PC-36129</t>
        </is>
      </c>
      <c r="B72" s="4" t="inlineStr">
        <is>
          <t>Larkspur Rail Siding Environmental Review Support</t>
        </is>
      </c>
      <c r="C72" s="4" t="inlineStr">
        <is>
          <t>In Progress</t>
        </is>
      </c>
      <c r="D72" s="4" t="inlineStr">
        <is>
          <t>Time and material</t>
        </is>
      </c>
      <c r="E72" s="4" t="inlineStr">
        <is>
          <t>High Desert</t>
        </is>
      </c>
      <c r="F72" s="4" t="inlineStr">
        <is>
          <t>Kathy Hurley</t>
        </is>
      </c>
      <c r="G72" s="5" t="n">
        <v>114200</v>
      </c>
      <c r="H72" s="5" t="n">
        <v>114200</v>
      </c>
      <c r="I72" s="5" t="n">
        <v>114200</v>
      </c>
      <c r="J72" s="5" t="n">
        <v>78124.22</v>
      </c>
      <c r="K72" s="5" t="n">
        <v>78124.22</v>
      </c>
      <c r="L72" s="5" t="n">
        <v>0</v>
      </c>
      <c r="M72" s="5" t="n">
        <v>79562.78999999999</v>
      </c>
      <c r="N72" s="5" t="n">
        <v>-1438.569999999992</v>
      </c>
      <c r="O72" s="6" t="n">
        <v>1</v>
      </c>
      <c r="P72" s="6" t="n">
        <v>1.0184</v>
      </c>
    </row>
    <row r="73">
      <c r="A73" s="4" t="inlineStr">
        <is>
          <t>25-PC-36641</t>
        </is>
      </c>
      <c r="B73" s="4" t="inlineStr">
        <is>
          <t>Sparrow Hill Airport Apron Phase II Testing</t>
        </is>
      </c>
      <c r="C73" s="4" t="inlineStr">
        <is>
          <t>In Progress</t>
        </is>
      </c>
      <c r="D73" s="4" t="inlineStr">
        <is>
          <t>Time and material</t>
        </is>
      </c>
      <c r="E73" s="4" t="inlineStr">
        <is>
          <t>Lakeshore</t>
        </is>
      </c>
      <c r="F73" s="4" t="inlineStr">
        <is>
          <t>Lucas Benson</t>
        </is>
      </c>
      <c r="G73" s="5" t="n">
        <v>181300</v>
      </c>
      <c r="H73" s="5" t="n">
        <v>181300</v>
      </c>
      <c r="I73" s="5" t="n">
        <v>174825.53</v>
      </c>
      <c r="J73" s="5" t="n">
        <v>117609.31</v>
      </c>
      <c r="K73" s="5" t="n">
        <v>117609.31</v>
      </c>
      <c r="L73" s="5" t="n">
        <v>0</v>
      </c>
      <c r="M73" s="5" t="n">
        <v>164790.18</v>
      </c>
      <c r="N73" s="5" t="n">
        <v>-47180.87</v>
      </c>
      <c r="O73" s="6" t="n">
        <v>1</v>
      </c>
      <c r="P73" s="6" t="n">
        <v>1.4012</v>
      </c>
    </row>
    <row r="74">
      <c r="A74" s="4" t="inlineStr">
        <is>
          <t>25-PC-36761</t>
        </is>
      </c>
      <c r="B74" s="4" t="inlineStr">
        <is>
          <t>Copper Flats Mine Expansion Built Environment Survey</t>
        </is>
      </c>
      <c r="C74" s="4" t="inlineStr">
        <is>
          <t>Final Reporting/Review</t>
        </is>
      </c>
      <c r="D74" s="4" t="inlineStr">
        <is>
          <t>Fixed fee</t>
        </is>
      </c>
      <c r="E74" s="4" t="inlineStr">
        <is>
          <t>Lakeshore</t>
        </is>
      </c>
      <c r="F74" s="4" t="inlineStr">
        <is>
          <t>Jeanette Riddle</t>
        </is>
      </c>
      <c r="G74" s="5" t="n">
        <v>74000</v>
      </c>
      <c r="H74" s="5" t="n">
        <v>74000</v>
      </c>
      <c r="I74" s="5" t="n">
        <v>66065.35000000001</v>
      </c>
      <c r="J74" s="5" t="n">
        <v>56358.4</v>
      </c>
      <c r="K74" s="5" t="n">
        <v>56358.4</v>
      </c>
      <c r="L74" s="5" t="n">
        <v>0</v>
      </c>
      <c r="M74" s="5" t="n">
        <v>66079.16</v>
      </c>
      <c r="N74" s="5" t="n">
        <v>-9720.760000000002</v>
      </c>
      <c r="O74" s="6" t="n">
        <v>1</v>
      </c>
      <c r="P74" s="6" t="n">
        <v>1.1725</v>
      </c>
    </row>
    <row r="75">
      <c r="A75" s="4" t="inlineStr">
        <is>
          <t>25-PC-37164</t>
        </is>
      </c>
      <c r="B75" s="4" t="inlineStr">
        <is>
          <t>Yarrow Point Wastewater Plant - Phase I Survey</t>
        </is>
      </c>
      <c r="C75" s="4" t="inlineStr">
        <is>
          <t>In Progress</t>
        </is>
      </c>
      <c r="D75" s="4" t="inlineStr">
        <is>
          <t>Time and material</t>
        </is>
      </c>
      <c r="E75" s="4" t="inlineStr">
        <is>
          <t>Hill Country</t>
        </is>
      </c>
      <c r="F75" s="4" t="inlineStr">
        <is>
          <t>Glen Delacruz</t>
        </is>
      </c>
      <c r="G75" s="5" t="n">
        <v>75400</v>
      </c>
      <c r="H75" s="5" t="n">
        <v>75400</v>
      </c>
      <c r="I75" s="5" t="n">
        <v>71354.11</v>
      </c>
      <c r="J75" s="5" t="n">
        <v>50299.34</v>
      </c>
      <c r="K75" s="5" t="n">
        <v>50299.34</v>
      </c>
      <c r="L75" s="5" t="n">
        <v>0</v>
      </c>
      <c r="M75" s="5" t="n">
        <v>90901.92</v>
      </c>
      <c r="N75" s="5" t="n">
        <v>-40602.58</v>
      </c>
      <c r="O75" s="6" t="n">
        <v>1</v>
      </c>
      <c r="P75" s="6" t="n">
        <v>1.8072</v>
      </c>
    </row>
    <row r="76">
      <c r="A76" s="4" t="inlineStr">
        <is>
          <t>25-PC-37392</t>
        </is>
      </c>
      <c r="B76" s="4" t="inlineStr">
        <is>
          <t>Eagle Bend Wind Farm - Phase I Survey</t>
        </is>
      </c>
      <c r="C76" s="4" t="inlineStr">
        <is>
          <t>In Progress</t>
        </is>
      </c>
      <c r="D76" s="4" t="inlineStr">
        <is>
          <t>Fixed fee</t>
        </is>
      </c>
      <c r="E76" s="4" t="inlineStr">
        <is>
          <t>Piedmont</t>
        </is>
      </c>
      <c r="F76" s="4" t="inlineStr">
        <is>
          <t>Maria Parrish</t>
        </is>
      </c>
      <c r="G76" s="5" t="n">
        <v>59200</v>
      </c>
      <c r="H76" s="5" t="n">
        <v>54913.92</v>
      </c>
      <c r="I76" s="5" t="n">
        <v>54913.92</v>
      </c>
      <c r="J76" s="5" t="n">
        <v>50698.88</v>
      </c>
      <c r="K76" s="5" t="n">
        <v>50698.88</v>
      </c>
      <c r="L76" s="5" t="n">
        <v>0</v>
      </c>
      <c r="M76" s="5" t="n">
        <v>47030.53</v>
      </c>
      <c r="N76" s="5" t="n">
        <v>3668.349999999999</v>
      </c>
      <c r="O76" s="6" t="n">
        <v>0.928</v>
      </c>
      <c r="P76" s="6" t="n">
        <v>0.9276</v>
      </c>
    </row>
    <row r="77">
      <c r="A77" s="4" t="inlineStr">
        <is>
          <t>25-PC-37461</t>
        </is>
      </c>
      <c r="B77" s="4" t="inlineStr">
        <is>
          <t>On-Call: Dove Canyon Fiber Route Cultural Resources Monitoring</t>
        </is>
      </c>
      <c r="C77" s="4" t="inlineStr">
        <is>
          <t>Cost Tracking on Closed Project</t>
        </is>
      </c>
      <c r="D77" s="4" t="inlineStr">
        <is>
          <t>Time and material</t>
        </is>
      </c>
      <c r="E77" s="4" t="inlineStr">
        <is>
          <t>Piedmont</t>
        </is>
      </c>
      <c r="F77" s="4" t="inlineStr">
        <is>
          <t>Megan Pineda</t>
        </is>
      </c>
      <c r="G77" s="5" t="n">
        <v>83200</v>
      </c>
      <c r="H77" s="5" t="n">
        <v>22297.6</v>
      </c>
      <c r="I77" s="5" t="n">
        <v>22297.6</v>
      </c>
      <c r="J77" s="5" t="n">
        <v>60186.88</v>
      </c>
      <c r="K77" s="5" t="n">
        <v>60186.88</v>
      </c>
      <c r="L77" s="5" t="n">
        <v>0</v>
      </c>
      <c r="M77" s="5" t="n">
        <v>78242.94</v>
      </c>
      <c r="N77" s="5" t="n">
        <v>-18056.06</v>
      </c>
      <c r="O77" s="6" t="n">
        <v>0.268</v>
      </c>
      <c r="P77" s="6" t="n">
        <v>1.3</v>
      </c>
    </row>
    <row r="78">
      <c r="A78" s="4" t="inlineStr">
        <is>
          <t>25-PC-37786</t>
        </is>
      </c>
      <c r="B78" s="4" t="inlineStr">
        <is>
          <t>Fern Valley Wastewater Plant Paleontological Monitoring</t>
        </is>
      </c>
      <c r="C78" s="4" t="inlineStr">
        <is>
          <t>Final Reporting/Review</t>
        </is>
      </c>
      <c r="D78" s="4" t="inlineStr">
        <is>
          <t>Time and material</t>
        </is>
      </c>
      <c r="E78" s="4" t="inlineStr">
        <is>
          <t>Piedmont</t>
        </is>
      </c>
      <c r="F78" s="4" t="inlineStr">
        <is>
          <t>Maria Parrish</t>
        </is>
      </c>
      <c r="G78" s="5" t="n">
        <v>72200</v>
      </c>
      <c r="H78" s="5" t="n">
        <v>69466.7</v>
      </c>
      <c r="I78" s="5" t="n">
        <v>69466.7</v>
      </c>
      <c r="J78" s="5" t="n">
        <v>44893.96</v>
      </c>
      <c r="K78" s="5" t="n">
        <v>44893.96</v>
      </c>
      <c r="L78" s="5" t="n">
        <v>0</v>
      </c>
      <c r="M78" s="5" t="n">
        <v>57390.52</v>
      </c>
      <c r="N78" s="5" t="n">
        <v>-12496.56</v>
      </c>
      <c r="O78" s="6" t="n">
        <v>0.962</v>
      </c>
      <c r="P78" s="6" t="n">
        <v>1.2784</v>
      </c>
    </row>
    <row r="79">
      <c r="A79" s="4" t="inlineStr">
        <is>
          <t>25-PC-38754</t>
        </is>
      </c>
      <c r="B79" s="4" t="inlineStr">
        <is>
          <t>On-Call: Sparrow Hill Solar Section 106 Consultation</t>
        </is>
      </c>
      <c r="C79" s="4" t="inlineStr">
        <is>
          <t>In Progress</t>
        </is>
      </c>
      <c r="D79" s="4" t="inlineStr">
        <is>
          <t>Fixed fee</t>
        </is>
      </c>
      <c r="E79" s="4" t="inlineStr">
        <is>
          <t>Red Rock</t>
        </is>
      </c>
      <c r="F79" s="4" t="inlineStr">
        <is>
          <t>Javier Newman</t>
        </is>
      </c>
      <c r="G79" s="5" t="n">
        <v>63900</v>
      </c>
      <c r="H79" s="5" t="n">
        <v>63900</v>
      </c>
      <c r="I79" s="5" t="n">
        <v>60446.65</v>
      </c>
      <c r="J79" s="5" t="n">
        <v>41637.24</v>
      </c>
      <c r="K79" s="5" t="n">
        <v>41637.24</v>
      </c>
      <c r="L79" s="5" t="n">
        <v>0</v>
      </c>
      <c r="M79" s="5" t="n">
        <v>60770.39</v>
      </c>
      <c r="N79" s="5" t="n">
        <v>-19133.15</v>
      </c>
      <c r="O79" s="6" t="n">
        <v>1</v>
      </c>
      <c r="P79" s="6" t="n">
        <v>1.4595</v>
      </c>
    </row>
    <row r="80">
      <c r="A80" s="4" t="inlineStr">
        <is>
          <t>25-PC-39035</t>
        </is>
      </c>
      <c r="B80" s="4" t="inlineStr">
        <is>
          <t>Rushgrass Draw School Campus - Built Environment Survey</t>
        </is>
      </c>
      <c r="C80" s="4" t="inlineStr">
        <is>
          <t>In Progress</t>
        </is>
      </c>
      <c r="D80" s="4" t="inlineStr">
        <is>
          <t>Time and material</t>
        </is>
      </c>
      <c r="E80" s="4" t="inlineStr">
        <is>
          <t>Red Rock</t>
        </is>
      </c>
      <c r="F80" s="4" t="inlineStr">
        <is>
          <t>Tina Aguirre</t>
        </is>
      </c>
      <c r="G80" s="5" t="n">
        <v>244000</v>
      </c>
      <c r="H80" s="5" t="n">
        <v>201680</v>
      </c>
      <c r="I80" s="5" t="n">
        <v>201680</v>
      </c>
      <c r="J80" s="5" t="n">
        <v>174704</v>
      </c>
      <c r="K80" s="5" t="n">
        <v>174704</v>
      </c>
      <c r="L80" s="5" t="n">
        <v>0</v>
      </c>
      <c r="M80" s="5" t="n">
        <v>157468.07</v>
      </c>
      <c r="N80" s="5" t="n">
        <v>17235.92999999999</v>
      </c>
      <c r="O80" s="6" t="n">
        <v>0.827</v>
      </c>
      <c r="P80" s="6" t="n">
        <v>0.9013</v>
      </c>
    </row>
    <row r="81">
      <c r="A81" s="4" t="inlineStr">
        <is>
          <t>25-PC-39085</t>
        </is>
      </c>
      <c r="B81" s="4" t="inlineStr">
        <is>
          <t>Slate Ridge Environmental Review Support</t>
        </is>
      </c>
      <c r="C81" s="4" t="inlineStr">
        <is>
          <t>In Progress</t>
        </is>
      </c>
      <c r="D81" s="4" t="inlineStr">
        <is>
          <t>Fixed fee</t>
        </is>
      </c>
      <c r="E81" s="4" t="inlineStr">
        <is>
          <t>Red Rock</t>
        </is>
      </c>
      <c r="F81" s="4" t="inlineStr">
        <is>
          <t>Bruce Suarez</t>
        </is>
      </c>
      <c r="G81" s="5" t="n">
        <v>120700</v>
      </c>
      <c r="H81" s="5" t="n">
        <v>119806.82</v>
      </c>
      <c r="I81" s="5" t="n">
        <v>119806.82</v>
      </c>
      <c r="J81" s="5" t="n">
        <v>69209.38</v>
      </c>
      <c r="K81" s="5" t="n">
        <v>69209.38</v>
      </c>
      <c r="L81" s="5" t="n">
        <v>0</v>
      </c>
      <c r="M81" s="5" t="n">
        <v>68696.85000000001</v>
      </c>
      <c r="N81" s="5" t="n">
        <v>512.5299999999988</v>
      </c>
      <c r="O81" s="6" t="n">
        <v>0.993</v>
      </c>
      <c r="P81" s="6" t="n">
        <v>0.9926</v>
      </c>
    </row>
    <row r="82">
      <c r="A82" s="4" t="inlineStr">
        <is>
          <t>25-PC-39358</t>
        </is>
      </c>
      <c r="B82" s="4" t="inlineStr">
        <is>
          <t>Task Order 1: Hawk Point Wastewater Plant Archaeological Testing</t>
        </is>
      </c>
      <c r="C82" s="4" t="inlineStr">
        <is>
          <t>Final Reporting/Review</t>
        </is>
      </c>
      <c r="D82" s="4" t="inlineStr">
        <is>
          <t>Time and material</t>
        </is>
      </c>
      <c r="E82" s="4" t="inlineStr">
        <is>
          <t>Red Rock</t>
        </is>
      </c>
      <c r="F82" s="4" t="inlineStr">
        <is>
          <t>Tina Aguirre</t>
        </is>
      </c>
      <c r="G82" s="5" t="n">
        <v>55900</v>
      </c>
      <c r="H82" s="5" t="n">
        <v>55900</v>
      </c>
      <c r="I82" s="5" t="n">
        <v>54034.56</v>
      </c>
      <c r="J82" s="5" t="n">
        <v>39633.1</v>
      </c>
      <c r="K82" s="5" t="n">
        <v>39633.1</v>
      </c>
      <c r="L82" s="5" t="n">
        <v>0</v>
      </c>
      <c r="M82" s="5" t="n">
        <v>38428.92</v>
      </c>
      <c r="N82" s="5" t="n">
        <v>1204.18</v>
      </c>
      <c r="O82" s="6" t="n">
        <v>1</v>
      </c>
      <c r="P82" s="6" t="n">
        <v>0.9696</v>
      </c>
    </row>
    <row r="83">
      <c r="A83" s="4" t="inlineStr">
        <is>
          <t>25-PC-39765</t>
        </is>
      </c>
      <c r="B83" s="4" t="inlineStr">
        <is>
          <t>Phase II: Windmill Flat Wind Farm Built Environment Survey</t>
        </is>
      </c>
      <c r="C83" s="4" t="inlineStr">
        <is>
          <t>In Progress</t>
        </is>
      </c>
      <c r="D83" s="4" t="inlineStr">
        <is>
          <t>Time and material</t>
        </is>
      </c>
      <c r="E83" s="4" t="inlineStr">
        <is>
          <t>Red Rock</t>
        </is>
      </c>
      <c r="F83" s="4" t="inlineStr">
        <is>
          <t>Javier Newman</t>
        </is>
      </c>
      <c r="G83" s="5" t="n">
        <v>51000</v>
      </c>
      <c r="H83" s="5" t="n">
        <v>51000</v>
      </c>
      <c r="I83" s="5" t="n">
        <v>51000</v>
      </c>
      <c r="J83" s="5" t="n">
        <v>36551.7</v>
      </c>
      <c r="K83" s="5" t="n">
        <v>36551.7</v>
      </c>
      <c r="L83" s="5" t="n">
        <v>0</v>
      </c>
      <c r="M83" s="5" t="n">
        <v>75197.03999999999</v>
      </c>
      <c r="N83" s="5" t="n">
        <v>-38645.34</v>
      </c>
      <c r="O83" s="6" t="n">
        <v>1</v>
      </c>
      <c r="P83" s="6" t="n">
        <v>2.0573</v>
      </c>
    </row>
    <row r="84">
      <c r="A84" s="4" t="inlineStr">
        <is>
          <t>25-PC-40523</t>
        </is>
      </c>
      <c r="B84" s="4" t="inlineStr">
        <is>
          <t>On-Call: Oak Terrace Reservoir Section 106 Consultation</t>
        </is>
      </c>
      <c r="C84" s="4" t="inlineStr">
        <is>
          <t>In Progress</t>
        </is>
      </c>
      <c r="D84" s="4" t="inlineStr">
        <is>
          <t>Time and material</t>
        </is>
      </c>
      <c r="E84" s="4" t="inlineStr">
        <is>
          <t>Sierra</t>
        </is>
      </c>
      <c r="F84" s="4" t="inlineStr">
        <is>
          <t>Donna Herring</t>
        </is>
      </c>
      <c r="G84" s="5" t="n">
        <v>71000</v>
      </c>
      <c r="H84" s="5" t="n">
        <v>71000</v>
      </c>
      <c r="I84" s="5" t="n">
        <v>67104.25</v>
      </c>
      <c r="J84" s="5" t="n">
        <v>49579.3</v>
      </c>
      <c r="K84" s="5" t="n">
        <v>49579.3</v>
      </c>
      <c r="L84" s="5" t="n">
        <v>0</v>
      </c>
      <c r="M84" s="5" t="n">
        <v>76399.60000000001</v>
      </c>
      <c r="N84" s="5" t="n">
        <v>-26820.3</v>
      </c>
      <c r="O84" s="6" t="n">
        <v>1</v>
      </c>
      <c r="P84" s="6" t="n">
        <v>1.541</v>
      </c>
    </row>
    <row r="85">
      <c r="A85" s="4" t="inlineStr">
        <is>
          <t>25-PC-40677</t>
        </is>
      </c>
      <c r="B85" s="4" t="inlineStr">
        <is>
          <t>Quail Run Paleontological Monitoring</t>
        </is>
      </c>
      <c r="C85" s="4" t="inlineStr">
        <is>
          <t>Transferred Entity</t>
        </is>
      </c>
      <c r="D85" s="4" t="inlineStr">
        <is>
          <t>Time and material</t>
        </is>
      </c>
      <c r="E85" s="4" t="inlineStr">
        <is>
          <t>Sierra South</t>
        </is>
      </c>
      <c r="F85" s="4" t="inlineStr">
        <is>
          <t>Louis Huff</t>
        </is>
      </c>
      <c r="G85" s="5" t="n">
        <v>225000</v>
      </c>
      <c r="H85" s="5" t="n">
        <v>192903.25</v>
      </c>
      <c r="I85" s="5" t="n">
        <v>192903.25</v>
      </c>
      <c r="J85" s="5" t="n">
        <v>157612.5</v>
      </c>
      <c r="K85" s="5" t="n">
        <v>157612.5</v>
      </c>
      <c r="L85" s="5" t="n">
        <v>0</v>
      </c>
      <c r="M85" s="5" t="n">
        <v>153698.04</v>
      </c>
      <c r="N85" s="5" t="n">
        <v>3914.459999999992</v>
      </c>
      <c r="O85" s="6" t="n">
        <v>0.857</v>
      </c>
      <c r="P85" s="6" t="n">
        <v>0.9752</v>
      </c>
    </row>
    <row r="86">
      <c r="A86" s="4" t="inlineStr">
        <is>
          <t>25-PC-40810</t>
        </is>
      </c>
      <c r="B86" s="4" t="inlineStr">
        <is>
          <t>Goldfinch Mine Expansion Archaeological Testing</t>
        </is>
      </c>
      <c r="C86" s="4" t="inlineStr">
        <is>
          <t>Transferred Entity</t>
        </is>
      </c>
      <c r="D86" s="4" t="inlineStr">
        <is>
          <t>Fixed fee</t>
        </is>
      </c>
      <c r="E86" s="4" t="inlineStr">
        <is>
          <t>Coastal Bend</t>
        </is>
      </c>
      <c r="F86" s="4" t="inlineStr">
        <is>
          <t>Duane Ballard</t>
        </is>
      </c>
      <c r="G86" s="5" t="n">
        <v>50100</v>
      </c>
      <c r="H86" s="5" t="n">
        <v>50100</v>
      </c>
      <c r="I86" s="5" t="n">
        <v>47994.45</v>
      </c>
      <c r="J86" s="5" t="n">
        <v>34844.55</v>
      </c>
      <c r="K86" s="5" t="n">
        <v>34844.55</v>
      </c>
      <c r="L86" s="5" t="n">
        <v>0</v>
      </c>
      <c r="M86" s="5" t="n">
        <v>37556.22</v>
      </c>
      <c r="N86" s="5" t="n">
        <v>-2711.669999999998</v>
      </c>
      <c r="O86" s="6" t="n">
        <v>1</v>
      </c>
      <c r="P86" s="6" t="n">
        <v>1.0778</v>
      </c>
    </row>
    <row r="87">
      <c r="A87" s="4" t="inlineStr">
        <is>
          <t>25-PC-41265</t>
        </is>
      </c>
      <c r="B87" s="4" t="inlineStr">
        <is>
          <t>Larkspur Class III Survey</t>
        </is>
      </c>
      <c r="C87" s="4" t="inlineStr">
        <is>
          <t>Cost Tracking on Closed Project</t>
        </is>
      </c>
      <c r="D87" s="4" t="inlineStr">
        <is>
          <t>Fixed fee</t>
        </is>
      </c>
      <c r="E87" s="4" t="inlineStr">
        <is>
          <t>Coastal Bend</t>
        </is>
      </c>
      <c r="F87" s="4" t="inlineStr">
        <is>
          <t>Diane Daniels</t>
        </is>
      </c>
      <c r="G87" s="5" t="n">
        <v>89800</v>
      </c>
      <c r="H87" s="5" t="n">
        <v>85318.98</v>
      </c>
      <c r="I87" s="5" t="n">
        <v>85318.98</v>
      </c>
      <c r="J87" s="5" t="n">
        <v>71911.84</v>
      </c>
      <c r="K87" s="5" t="n">
        <v>71911.84</v>
      </c>
      <c r="L87" s="5" t="n">
        <v>0</v>
      </c>
      <c r="M87" s="5" t="n">
        <v>68323.14</v>
      </c>
      <c r="N87" s="5" t="n">
        <v>3588.699999999997</v>
      </c>
      <c r="O87" s="6" t="n">
        <v>0.95</v>
      </c>
      <c r="P87" s="6" t="n">
        <v>0.9500999999999999</v>
      </c>
    </row>
    <row r="88">
      <c r="A88" s="4" t="inlineStr">
        <is>
          <t>25-PC-41385</t>
        </is>
      </c>
      <c r="B88" s="4" t="inlineStr">
        <is>
          <t>Tamarack Levee Repair - Historic Resources Evaluation</t>
        </is>
      </c>
      <c r="C88" s="4" t="inlineStr">
        <is>
          <t>In Progress</t>
        </is>
      </c>
      <c r="D88" s="4" t="inlineStr">
        <is>
          <t>Fixed fee</t>
        </is>
      </c>
      <c r="E88" s="4" t="inlineStr">
        <is>
          <t>Coastal Bend</t>
        </is>
      </c>
      <c r="F88" s="4" t="inlineStr">
        <is>
          <t>Diane Daniels</t>
        </is>
      </c>
      <c r="G88" s="5" t="n">
        <v>179800</v>
      </c>
      <c r="H88" s="5" t="n">
        <v>179800</v>
      </c>
      <c r="I88" s="5" t="n">
        <v>170811.36</v>
      </c>
      <c r="J88" s="5" t="n">
        <v>119171.44</v>
      </c>
      <c r="K88" s="5" t="n">
        <v>119171.44</v>
      </c>
      <c r="L88" s="5" t="n">
        <v>0</v>
      </c>
      <c r="M88" s="5" t="n">
        <v>171055.95</v>
      </c>
      <c r="N88" s="5" t="n">
        <v>-51884.51000000001</v>
      </c>
      <c r="O88" s="6" t="n">
        <v>1</v>
      </c>
      <c r="P88" s="6" t="n">
        <v>1.4354</v>
      </c>
    </row>
    <row r="89">
      <c r="A89" s="4" t="inlineStr">
        <is>
          <t>25-PC-41500</t>
        </is>
      </c>
      <c r="B89" s="4" t="inlineStr">
        <is>
          <t>Task Order 24: Elk Meadow Mixed-Use Development Historic Resources Evaluation</t>
        </is>
      </c>
      <c r="C89" s="4" t="inlineStr">
        <is>
          <t>In Progress</t>
        </is>
      </c>
      <c r="D89" s="4" t="inlineStr">
        <is>
          <t>Time and material</t>
        </is>
      </c>
      <c r="E89" s="4" t="inlineStr">
        <is>
          <t>Coastal Bend</t>
        </is>
      </c>
      <c r="F89" s="4" t="inlineStr">
        <is>
          <t>Jared Choi</t>
        </is>
      </c>
      <c r="G89" s="5" t="n">
        <v>130200</v>
      </c>
      <c r="H89" s="5" t="n">
        <v>121022.45</v>
      </c>
      <c r="I89" s="5" t="n">
        <v>121022.45</v>
      </c>
      <c r="J89" s="5" t="n">
        <v>94156.73</v>
      </c>
      <c r="K89" s="5" t="n">
        <v>81265.42</v>
      </c>
      <c r="L89" s="5" t="n">
        <v>12891.31</v>
      </c>
      <c r="M89" s="5" t="n">
        <v>105548.13</v>
      </c>
      <c r="N89" s="5" t="n">
        <v>-11391.40000000001</v>
      </c>
      <c r="O89" s="6" t="n">
        <v>0.93</v>
      </c>
      <c r="P89" s="6" t="n">
        <v>1.121</v>
      </c>
    </row>
    <row r="90">
      <c r="A90" s="4" t="inlineStr">
        <is>
          <t>25-PC-43073</t>
        </is>
      </c>
      <c r="B90" s="4" t="inlineStr">
        <is>
          <t>Elk Meadow Highway Widening Phase I Survey</t>
        </is>
      </c>
      <c r="C90" s="4" t="inlineStr">
        <is>
          <t>Transferred Entity</t>
        </is>
      </c>
      <c r="D90" s="4" t="inlineStr">
        <is>
          <t>Time and material</t>
        </is>
      </c>
      <c r="E90" s="4" t="inlineStr">
        <is>
          <t>Geospatial</t>
        </is>
      </c>
      <c r="F90" s="4" t="inlineStr">
        <is>
          <t>Sylvia Callahan</t>
        </is>
      </c>
      <c r="G90" s="5" t="n">
        <v>62000</v>
      </c>
      <c r="H90" s="5" t="n">
        <v>54684.75</v>
      </c>
      <c r="I90" s="5" t="n">
        <v>54684.75</v>
      </c>
      <c r="J90" s="5" t="n">
        <v>44404.4</v>
      </c>
      <c r="K90" s="5" t="n">
        <v>44404.4</v>
      </c>
      <c r="L90" s="5" t="n">
        <v>0</v>
      </c>
      <c r="M90" s="5" t="n">
        <v>44584.79</v>
      </c>
      <c r="N90" s="5" t="n">
        <v>-180.3899999999994</v>
      </c>
      <c r="O90" s="6" t="n">
        <v>0.882</v>
      </c>
      <c r="P90" s="6" t="n">
        <v>1.0041</v>
      </c>
    </row>
    <row r="91">
      <c r="A91" s="4" t="inlineStr">
        <is>
          <t>25-PC-43203</t>
        </is>
      </c>
      <c r="B91" s="4" t="inlineStr">
        <is>
          <t>Bramble Creek Mine Expansion Archaeological Testing</t>
        </is>
      </c>
      <c r="C91" s="4" t="inlineStr">
        <is>
          <t>In Progress</t>
        </is>
      </c>
      <c r="D91" s="4" t="inlineStr">
        <is>
          <t>Fixed fee</t>
        </is>
      </c>
      <c r="E91" s="4" t="inlineStr">
        <is>
          <t>Meridian Central</t>
        </is>
      </c>
      <c r="F91" s="4" t="inlineStr">
        <is>
          <t>Seth Zavala</t>
        </is>
      </c>
      <c r="G91" s="5" t="n">
        <v>128400</v>
      </c>
      <c r="H91" s="5" t="n">
        <v>128400</v>
      </c>
      <c r="I91" s="5" t="n">
        <v>128209.36</v>
      </c>
      <c r="J91" s="5" t="n">
        <v>106315.2</v>
      </c>
      <c r="K91" s="5" t="n">
        <v>106315.2</v>
      </c>
      <c r="L91" s="5" t="n">
        <v>0</v>
      </c>
      <c r="M91" s="5" t="n">
        <v>195734.3</v>
      </c>
      <c r="N91" s="5" t="n">
        <v>-89419.09999999999</v>
      </c>
      <c r="O91" s="6" t="n">
        <v>1</v>
      </c>
      <c r="P91" s="6" t="n">
        <v>1.8411</v>
      </c>
    </row>
    <row r="92">
      <c r="A92" s="4" t="inlineStr">
        <is>
          <t>25-PC-43315</t>
        </is>
      </c>
      <c r="B92" s="4" t="inlineStr">
        <is>
          <t>Phase III: Hackberry Bend Bridge Replacement Architectural History Survey</t>
        </is>
      </c>
      <c r="C92" s="4" t="inlineStr">
        <is>
          <t>Cost Tracking on Closed Project</t>
        </is>
      </c>
      <c r="D92" s="4" t="inlineStr">
        <is>
          <t>Fixed fee</t>
        </is>
      </c>
      <c r="E92" s="4" t="inlineStr">
        <is>
          <t>Meridian Central</t>
        </is>
      </c>
      <c r="F92" s="4" t="inlineStr">
        <is>
          <t>Clinton Solis</t>
        </is>
      </c>
      <c r="G92" s="5" t="n">
        <v>715500</v>
      </c>
      <c r="H92" s="5" t="n">
        <v>650818.8</v>
      </c>
      <c r="I92" s="5" t="n">
        <v>650818.8</v>
      </c>
      <c r="J92" s="5" t="n">
        <v>625275.45</v>
      </c>
      <c r="K92" s="5" t="n">
        <v>625275.45</v>
      </c>
      <c r="L92" s="5" t="n">
        <v>0</v>
      </c>
      <c r="M92" s="5" t="n">
        <v>568777.84</v>
      </c>
      <c r="N92" s="5" t="n">
        <v>56497.60999999999</v>
      </c>
      <c r="O92" s="6" t="n">
        <v>0.91</v>
      </c>
      <c r="P92" s="6" t="n">
        <v>0.9096</v>
      </c>
    </row>
    <row r="93">
      <c r="A93" s="4" t="inlineStr">
        <is>
          <t>25-PC-43434</t>
        </is>
      </c>
      <c r="B93" s="4" t="inlineStr">
        <is>
          <t>Riverbend Airport Apron - Class III Survey</t>
        </is>
      </c>
      <c r="C93" s="4" t="inlineStr">
        <is>
          <t>Cost Tracking on Closed Project</t>
        </is>
      </c>
      <c r="D93" s="4" t="inlineStr">
        <is>
          <t>Fixed fee</t>
        </is>
      </c>
      <c r="E93" s="4" t="inlineStr">
        <is>
          <t>Meridian Central</t>
        </is>
      </c>
      <c r="F93" s="4" t="inlineStr">
        <is>
          <t>Seth Zavala</t>
        </is>
      </c>
      <c r="G93" s="5" t="n">
        <v>551800</v>
      </c>
      <c r="H93" s="5" t="n">
        <v>551800</v>
      </c>
      <c r="I93" s="5" t="n">
        <v>551800</v>
      </c>
      <c r="J93" s="5" t="n">
        <v>378424.44</v>
      </c>
      <c r="K93" s="5" t="n">
        <v>378424.44</v>
      </c>
      <c r="L93" s="5" t="n">
        <v>0</v>
      </c>
      <c r="M93" s="5" t="n">
        <v>405626.36</v>
      </c>
      <c r="N93" s="5" t="n">
        <v>-27201.91999999998</v>
      </c>
      <c r="O93" s="6" t="n">
        <v>1</v>
      </c>
      <c r="P93" s="6" t="n">
        <v>1.0719</v>
      </c>
    </row>
    <row r="94">
      <c r="A94" s="4" t="inlineStr">
        <is>
          <t>25-PC-43566</t>
        </is>
      </c>
      <c r="B94" s="4" t="inlineStr">
        <is>
          <t>Copper Flats Solar - Phase II Testing</t>
        </is>
      </c>
      <c r="C94" s="4" t="inlineStr">
        <is>
          <t>In Progress</t>
        </is>
      </c>
      <c r="D94" s="4" t="inlineStr">
        <is>
          <t>Fixed fee</t>
        </is>
      </c>
      <c r="E94" s="4" t="inlineStr">
        <is>
          <t>Meridian Central</t>
        </is>
      </c>
      <c r="F94" s="4" t="inlineStr">
        <is>
          <t>Mathew Shea</t>
        </is>
      </c>
      <c r="G94" s="5" t="n">
        <v>114200</v>
      </c>
      <c r="H94" s="5" t="n">
        <v>114200</v>
      </c>
      <c r="I94" s="5" t="n">
        <v>114200</v>
      </c>
      <c r="J94" s="5" t="n">
        <v>73887.39999999999</v>
      </c>
      <c r="K94" s="5" t="n">
        <v>73887.39999999999</v>
      </c>
      <c r="L94" s="5" t="n">
        <v>0</v>
      </c>
      <c r="M94" s="5" t="n">
        <v>131458.02</v>
      </c>
      <c r="N94" s="5" t="n">
        <v>-57570.62</v>
      </c>
      <c r="O94" s="6" t="n">
        <v>1</v>
      </c>
      <c r="P94" s="6" t="n">
        <v>1.7792</v>
      </c>
    </row>
    <row r="95">
      <c r="A95" s="4" t="inlineStr">
        <is>
          <t>25-PC-43621</t>
        </is>
      </c>
      <c r="B95" s="4" t="inlineStr">
        <is>
          <t>Task Order 8: Pine Hollow Highway Widening Historic Resources Evaluation</t>
        </is>
      </c>
      <c r="C95" s="4" t="inlineStr">
        <is>
          <t>In Progress</t>
        </is>
      </c>
      <c r="D95" s="4" t="inlineStr">
        <is>
          <t>Fixed fee</t>
        </is>
      </c>
      <c r="E95" s="4" t="inlineStr">
        <is>
          <t>Meridian Southwest</t>
        </is>
      </c>
      <c r="F95" s="4" t="inlineStr">
        <is>
          <t>Alan Gay</t>
        </is>
      </c>
      <c r="G95" s="5" t="n">
        <v>52800</v>
      </c>
      <c r="H95" s="5" t="n">
        <v>52800</v>
      </c>
      <c r="I95" s="5" t="n">
        <v>52800</v>
      </c>
      <c r="J95" s="5" t="n">
        <v>37979.04</v>
      </c>
      <c r="K95" s="5" t="n">
        <v>37979.04</v>
      </c>
      <c r="L95" s="5" t="n">
        <v>0</v>
      </c>
      <c r="M95" s="5" t="n">
        <v>37986.88</v>
      </c>
      <c r="N95" s="5" t="n">
        <v>-7.839999999996508</v>
      </c>
      <c r="O95" s="6" t="n">
        <v>1</v>
      </c>
      <c r="P95" s="6" t="n">
        <v>1.0002</v>
      </c>
    </row>
    <row r="96">
      <c r="A96" s="4" t="inlineStr">
        <is>
          <t>25-PC-43639</t>
        </is>
      </c>
      <c r="B96" s="4" t="inlineStr">
        <is>
          <t>Windmill Flat Battery Storage Curation</t>
        </is>
      </c>
      <c r="C96" s="4" t="inlineStr">
        <is>
          <t>Final Reporting/Review</t>
        </is>
      </c>
      <c r="D96" s="4" t="inlineStr">
        <is>
          <t>Fixed fee</t>
        </is>
      </c>
      <c r="E96" s="4" t="inlineStr">
        <is>
          <t>Meridian Southwest</t>
        </is>
      </c>
      <c r="F96" s="4" t="inlineStr">
        <is>
          <t>Harold Chaney</t>
        </is>
      </c>
      <c r="G96" s="5" t="n">
        <v>137000</v>
      </c>
      <c r="H96" s="5" t="n">
        <v>137000</v>
      </c>
      <c r="I96" s="5" t="n">
        <v>133193.26</v>
      </c>
      <c r="J96" s="5" t="n">
        <v>91502.3</v>
      </c>
      <c r="K96" s="5" t="n">
        <v>91502.3</v>
      </c>
      <c r="L96" s="5" t="n">
        <v>0</v>
      </c>
      <c r="M96" s="5" t="n">
        <v>100918.9</v>
      </c>
      <c r="N96" s="5" t="n">
        <v>-9416.599999999991</v>
      </c>
      <c r="O96" s="6" t="n">
        <v>1</v>
      </c>
      <c r="P96" s="6" t="n">
        <v>1.1029</v>
      </c>
    </row>
    <row r="97">
      <c r="A97" s="4" t="inlineStr">
        <is>
          <t>25-PC-43653</t>
        </is>
      </c>
      <c r="B97" s="4" t="inlineStr">
        <is>
          <t>Ember Valley Housing Development Paleontological Monitoring</t>
        </is>
      </c>
      <c r="C97" s="4" t="inlineStr">
        <is>
          <t>Lab/Curation</t>
        </is>
      </c>
      <c r="D97" s="4" t="inlineStr">
        <is>
          <t>Fixed fee</t>
        </is>
      </c>
      <c r="E97" s="4" t="inlineStr">
        <is>
          <t>Meridian Southwest</t>
        </is>
      </c>
      <c r="F97" s="4" t="inlineStr">
        <is>
          <t>Reginald Kerr</t>
        </is>
      </c>
      <c r="G97" s="5" t="n">
        <v>92800</v>
      </c>
      <c r="H97" s="5" t="n">
        <v>92800</v>
      </c>
      <c r="I97" s="5" t="n">
        <v>80044.53999999999</v>
      </c>
      <c r="J97" s="5" t="n">
        <v>78211.84</v>
      </c>
      <c r="K97" s="5" t="n">
        <v>78211.84</v>
      </c>
      <c r="L97" s="5" t="n">
        <v>0</v>
      </c>
      <c r="M97" s="5" t="n">
        <v>103245.03</v>
      </c>
      <c r="N97" s="5" t="n">
        <v>-25033.19</v>
      </c>
      <c r="O97" s="6" t="n">
        <v>1</v>
      </c>
      <c r="P97" s="6" t="n">
        <v>1.3201</v>
      </c>
    </row>
    <row r="98">
      <c r="A98" s="4" t="inlineStr">
        <is>
          <t>25-PC-44046</t>
        </is>
      </c>
      <c r="B98" s="4" t="inlineStr">
        <is>
          <t>Kestrel Butte Section 106 Consultation</t>
        </is>
      </c>
      <c r="C98" s="4" t="inlineStr">
        <is>
          <t>Transferred Entity</t>
        </is>
      </c>
      <c r="D98" s="4" t="inlineStr">
        <is>
          <t>Fixed fee</t>
        </is>
      </c>
      <c r="E98" s="4" t="inlineStr">
        <is>
          <t>NH Gulf (USD)</t>
        </is>
      </c>
      <c r="F98" s="4" t="inlineStr">
        <is>
          <t>Randy Cantu</t>
        </is>
      </c>
      <c r="G98" s="5" t="n">
        <v>320300</v>
      </c>
      <c r="H98" s="5" t="n">
        <v>320300</v>
      </c>
      <c r="I98" s="5" t="n">
        <v>320300</v>
      </c>
      <c r="J98" s="5" t="n">
        <v>220526.55</v>
      </c>
      <c r="K98" s="5" t="n">
        <v>220526.55</v>
      </c>
      <c r="L98" s="5" t="n">
        <v>0</v>
      </c>
      <c r="M98" s="5" t="n">
        <v>276639.9</v>
      </c>
      <c r="N98" s="5" t="n">
        <v>-56113.35000000003</v>
      </c>
      <c r="O98" s="6" t="n">
        <v>1</v>
      </c>
      <c r="P98" s="6" t="n">
        <v>1.25445167486636</v>
      </c>
    </row>
    <row r="99">
      <c r="A99" s="4" t="inlineStr">
        <is>
          <t>25-PC-44312</t>
        </is>
      </c>
      <c r="B99" s="4" t="inlineStr">
        <is>
          <t>Task Order 19: Millbrook Bridge Replacement Class III Survey</t>
        </is>
      </c>
      <c r="C99" s="4" t="inlineStr">
        <is>
          <t>In Progress</t>
        </is>
      </c>
      <c r="D99" s="4" t="inlineStr">
        <is>
          <t>Fixed fee</t>
        </is>
      </c>
      <c r="E99" s="4" t="inlineStr">
        <is>
          <t>NH Gulf (USD)</t>
        </is>
      </c>
      <c r="F99" s="4" t="inlineStr">
        <is>
          <t>Randy Cantu</t>
        </is>
      </c>
      <c r="G99" s="5" t="n">
        <v>97000</v>
      </c>
      <c r="H99" s="5" t="n">
        <v>97000</v>
      </c>
      <c r="I99" s="5" t="n">
        <v>91499.34</v>
      </c>
      <c r="J99" s="5" t="n">
        <v>71004</v>
      </c>
      <c r="K99" s="5" t="n">
        <v>71004</v>
      </c>
      <c r="L99" s="5" t="n">
        <v>0</v>
      </c>
      <c r="M99" s="5" t="n">
        <v>79042.17</v>
      </c>
      <c r="N99" s="5" t="n">
        <v>-8038.169999999998</v>
      </c>
      <c r="O99" s="6" t="n">
        <v>1</v>
      </c>
      <c r="P99" s="6" t="n">
        <v>1.1132</v>
      </c>
    </row>
    <row r="100">
      <c r="A100" s="4" t="inlineStr">
        <is>
          <t>26-PC-30432</t>
        </is>
      </c>
      <c r="B100" s="4" t="inlineStr">
        <is>
          <t>On-Call: Foxglove Substation Cultural Resources Assessment</t>
        </is>
      </c>
      <c r="C100" s="4" t="inlineStr">
        <is>
          <t>Cost Tracking on Closed Project</t>
        </is>
      </c>
      <c r="D100" s="4" t="inlineStr">
        <is>
          <t>Time and material</t>
        </is>
      </c>
      <c r="E100" s="4" t="inlineStr">
        <is>
          <t>Big Sky</t>
        </is>
      </c>
      <c r="F100" s="4" t="inlineStr">
        <is>
          <t>Javier Estrada</t>
        </is>
      </c>
      <c r="G100" s="5" t="n">
        <v>93100</v>
      </c>
      <c r="H100" s="5" t="n">
        <v>0</v>
      </c>
      <c r="I100" s="5" t="n">
        <v>0</v>
      </c>
      <c r="J100" s="5" t="n">
        <v>63801.43</v>
      </c>
      <c r="K100" s="5" t="n">
        <v>63801.43</v>
      </c>
      <c r="L100" s="5" t="n">
        <v>0</v>
      </c>
      <c r="M100" s="5" t="n">
        <v>65021.47</v>
      </c>
      <c r="N100" s="5" t="n">
        <v>-1220.040000000001</v>
      </c>
      <c r="O100" s="6" t="n">
        <v>0</v>
      </c>
      <c r="P100" s="6" t="n">
        <v>1.0191</v>
      </c>
    </row>
    <row r="101">
      <c r="A101" s="4" t="inlineStr">
        <is>
          <t>26-PC-30917</t>
        </is>
      </c>
      <c r="B101" s="4" t="inlineStr">
        <is>
          <t>Heron Marsh Harbor Dredging Environmental Review Support</t>
        </is>
      </c>
      <c r="C101" s="4" t="inlineStr">
        <is>
          <t>Cost Tracking on Closed Project</t>
        </is>
      </c>
      <c r="D101" s="4" t="inlineStr">
        <is>
          <t>Time and material</t>
        </is>
      </c>
      <c r="E101" s="4" t="inlineStr">
        <is>
          <t>Bluegrass</t>
        </is>
      </c>
      <c r="F101" s="4" t="inlineStr">
        <is>
          <t>Alice Galloway</t>
        </is>
      </c>
      <c r="G101" s="5" t="n">
        <v>209800</v>
      </c>
      <c r="H101" s="5" t="n">
        <v>0</v>
      </c>
      <c r="I101" s="5" t="n">
        <v>0</v>
      </c>
      <c r="J101" s="5" t="n">
        <v>135467.86</v>
      </c>
      <c r="K101" s="5" t="n">
        <v>135467.86</v>
      </c>
      <c r="L101" s="5" t="n">
        <v>0</v>
      </c>
      <c r="M101" s="5" t="n">
        <v>134699.95</v>
      </c>
      <c r="N101" s="5" t="n">
        <v>767.9099999999744</v>
      </c>
      <c r="O101" s="6" t="n">
        <v>0</v>
      </c>
      <c r="P101" s="6" t="n">
        <v>0.9943</v>
      </c>
    </row>
    <row r="102">
      <c r="A102" s="4" t="inlineStr">
        <is>
          <t>26-PC-31064</t>
        </is>
      </c>
      <c r="B102" s="4" t="inlineStr">
        <is>
          <t>Quail Run Archaeological Testing</t>
        </is>
      </c>
      <c r="C102" s="4" t="inlineStr">
        <is>
          <t>Cost Tracking on Closed Project</t>
        </is>
      </c>
      <c r="D102" s="4" t="inlineStr">
        <is>
          <t>Fixed fee</t>
        </is>
      </c>
      <c r="E102" s="4" t="inlineStr">
        <is>
          <t>Cascade</t>
        </is>
      </c>
      <c r="F102" s="4" t="inlineStr">
        <is>
          <t>Gene Nixon</t>
        </is>
      </c>
      <c r="G102" s="5" t="n">
        <v>74500</v>
      </c>
      <c r="H102" s="5" t="n">
        <v>74500</v>
      </c>
      <c r="I102" s="5" t="n">
        <v>74500</v>
      </c>
      <c r="J102" s="5" t="n">
        <v>60394.3</v>
      </c>
      <c r="K102" s="5" t="n">
        <v>53043.19</v>
      </c>
      <c r="L102" s="5" t="n">
        <v>7351.11</v>
      </c>
      <c r="M102" s="5" t="n">
        <v>76340.83</v>
      </c>
      <c r="N102" s="5" t="n">
        <v>-15946.53</v>
      </c>
      <c r="O102" s="6" t="n">
        <v>1</v>
      </c>
      <c r="P102" s="6" t="n">
        <v>1.264</v>
      </c>
    </row>
    <row r="103">
      <c r="A103" s="4" t="inlineStr">
        <is>
          <t>26-PC-32744</t>
        </is>
      </c>
      <c r="B103" s="4" t="inlineStr">
        <is>
          <t>Sea Oat Airport Apron Phase II Testing</t>
        </is>
      </c>
      <c r="C103" s="4" t="inlineStr">
        <is>
          <t>Cost Tracking on Closed Project</t>
        </is>
      </c>
      <c r="D103" s="4" t="inlineStr">
        <is>
          <t>Time and material</t>
        </is>
      </c>
      <c r="E103" s="4" t="inlineStr">
        <is>
          <t>Chesapeake</t>
        </is>
      </c>
      <c r="F103" s="4" t="inlineStr">
        <is>
          <t>Sandy Kerr</t>
        </is>
      </c>
      <c r="G103" s="5" t="n">
        <v>137100</v>
      </c>
      <c r="H103" s="5" t="n">
        <v>0</v>
      </c>
      <c r="I103" s="5" t="n">
        <v>0</v>
      </c>
      <c r="J103" s="5" t="n">
        <v>100617.66</v>
      </c>
      <c r="K103" s="5" t="n">
        <v>93287.5</v>
      </c>
      <c r="L103" s="5" t="n">
        <v>7330.16</v>
      </c>
      <c r="M103" s="5" t="n">
        <v>122245.29</v>
      </c>
      <c r="N103" s="5" t="n">
        <v>-21627.62999999999</v>
      </c>
      <c r="O103" s="6" t="n">
        <v>0</v>
      </c>
      <c r="P103" s="6" t="n">
        <v>1.2149</v>
      </c>
    </row>
    <row r="104">
      <c r="A104" s="4" t="inlineStr">
        <is>
          <t>26-PC-34101</t>
        </is>
      </c>
      <c r="B104" s="4" t="inlineStr">
        <is>
          <t>North Fork Rail Siding Paleontological Monitoring</t>
        </is>
      </c>
      <c r="C104" s="4" t="inlineStr">
        <is>
          <t>In Progress</t>
        </is>
      </c>
      <c r="D104" s="4" t="inlineStr">
        <is>
          <t>Fixed fee</t>
        </is>
      </c>
      <c r="E104" s="4" t="inlineStr">
        <is>
          <t>Great Lakes</t>
        </is>
      </c>
      <c r="F104" s="4" t="inlineStr">
        <is>
          <t>Nathan Lambert</t>
        </is>
      </c>
      <c r="G104" s="5" t="n">
        <v>76400</v>
      </c>
      <c r="H104" s="5" t="n">
        <v>76400</v>
      </c>
      <c r="I104" s="5" t="n">
        <v>70250.02</v>
      </c>
      <c r="J104" s="5" t="n">
        <v>53087.85</v>
      </c>
      <c r="K104" s="5" t="n">
        <v>46646.64</v>
      </c>
      <c r="L104" s="5" t="n">
        <v>6441.21</v>
      </c>
      <c r="M104" s="5" t="n">
        <v>80951.17999999999</v>
      </c>
      <c r="N104" s="5" t="n">
        <v>-27863.32999999999</v>
      </c>
      <c r="O104" s="6" t="n">
        <v>1</v>
      </c>
      <c r="P104" s="6" t="n">
        <v>1.5249</v>
      </c>
    </row>
    <row r="105">
      <c r="A105" s="4" t="inlineStr">
        <is>
          <t>26-PC-37965</t>
        </is>
      </c>
      <c r="B105" s="4" t="inlineStr">
        <is>
          <t>Redbud Cultural Resources Assessment</t>
        </is>
      </c>
      <c r="C105" s="4" t="inlineStr">
        <is>
          <t>In Progress</t>
        </is>
      </c>
      <c r="D105" s="4" t="inlineStr">
        <is>
          <t>Time and material</t>
        </is>
      </c>
      <c r="E105" s="4" t="inlineStr">
        <is>
          <t>Piedmont</t>
        </is>
      </c>
      <c r="F105" s="4" t="inlineStr">
        <is>
          <t>Annette Vaughan</t>
        </is>
      </c>
      <c r="G105" s="5" t="n">
        <v>55400</v>
      </c>
      <c r="H105" s="5" t="n">
        <v>50946.25</v>
      </c>
      <c r="I105" s="5" t="n">
        <v>31520.73</v>
      </c>
      <c r="J105" s="5" t="n">
        <v>34625</v>
      </c>
      <c r="K105" s="5" t="n">
        <v>34625</v>
      </c>
      <c r="L105" s="5" t="n">
        <v>0</v>
      </c>
      <c r="M105" s="5" t="n">
        <v>31687.21</v>
      </c>
      <c r="N105" s="5" t="n">
        <v>2937.790000000001</v>
      </c>
      <c r="O105" s="6" t="n">
        <v>0.92</v>
      </c>
      <c r="P105" s="6" t="n">
        <v>0.9152</v>
      </c>
    </row>
    <row r="106">
      <c r="A106" s="4" t="inlineStr">
        <is>
          <t>26-PC-38624</t>
        </is>
      </c>
      <c r="B106" s="4" t="inlineStr">
        <is>
          <t>Juniper Wash Built Environment Survey</t>
        </is>
      </c>
      <c r="C106" s="4" t="inlineStr">
        <is>
          <t>Cost Tracking on Closed Project</t>
        </is>
      </c>
      <c r="D106" s="4" t="inlineStr">
        <is>
          <t>Fixed fee</t>
        </is>
      </c>
      <c r="E106" s="4" t="inlineStr">
        <is>
          <t>Red Rock</t>
        </is>
      </c>
      <c r="F106" s="4" t="inlineStr">
        <is>
          <t>Bruce Suarez</t>
        </is>
      </c>
      <c r="G106" s="5" t="n">
        <v>77900</v>
      </c>
      <c r="H106" s="5" t="n">
        <v>77900</v>
      </c>
      <c r="I106" s="5" t="n">
        <v>77900</v>
      </c>
      <c r="J106" s="5" t="n">
        <v>56578.77</v>
      </c>
      <c r="K106" s="5" t="n">
        <v>56578.77</v>
      </c>
      <c r="L106" s="5" t="n">
        <v>0</v>
      </c>
      <c r="M106" s="5" t="n">
        <v>73552.39999999999</v>
      </c>
      <c r="N106" s="5" t="n">
        <v>-16973.63</v>
      </c>
      <c r="O106" s="6" t="n">
        <v>1</v>
      </c>
      <c r="P106" s="6" t="n">
        <v>1.3</v>
      </c>
    </row>
    <row r="107">
      <c r="A107" s="4" t="inlineStr">
        <is>
          <t>26-PC-38737</t>
        </is>
      </c>
      <c r="B107" s="4" t="inlineStr">
        <is>
          <t>Pebble Beach Road Wind Farm Historic Resources Evaluation</t>
        </is>
      </c>
      <c r="C107" s="4" t="inlineStr">
        <is>
          <t>In Progress</t>
        </is>
      </c>
      <c r="D107" s="4" t="inlineStr">
        <is>
          <t>Time and material</t>
        </is>
      </c>
      <c r="E107" s="4" t="inlineStr">
        <is>
          <t>Red Rock</t>
        </is>
      </c>
      <c r="F107" s="4" t="inlineStr">
        <is>
          <t>Tina Aguirre</t>
        </is>
      </c>
      <c r="G107" s="5" t="n">
        <v>97700</v>
      </c>
      <c r="H107" s="5" t="n">
        <v>97700</v>
      </c>
      <c r="I107" s="5" t="n">
        <v>80334.37</v>
      </c>
      <c r="J107" s="5" t="n">
        <v>60828.02</v>
      </c>
      <c r="K107" s="5" t="n">
        <v>60828.02</v>
      </c>
      <c r="L107" s="5" t="n">
        <v>0</v>
      </c>
      <c r="M107" s="5" t="n">
        <v>76641.91</v>
      </c>
      <c r="N107" s="5" t="n">
        <v>-15813.89000000001</v>
      </c>
      <c r="O107" s="6" t="n">
        <v>1</v>
      </c>
      <c r="P107" s="6" t="n">
        <v>1.26</v>
      </c>
    </row>
    <row r="108">
      <c r="A108" s="4" t="inlineStr">
        <is>
          <t>26-PC-39165</t>
        </is>
      </c>
      <c r="B108" s="4" t="inlineStr">
        <is>
          <t>Pebble Beach Road Phase I Survey</t>
        </is>
      </c>
      <c r="C108" s="4" t="inlineStr">
        <is>
          <t>Final Reporting/Review</t>
        </is>
      </c>
      <c r="D108" s="4" t="inlineStr">
        <is>
          <t>Fixed fee</t>
        </is>
      </c>
      <c r="E108" s="4" t="inlineStr">
        <is>
          <t>Red Rock</t>
        </is>
      </c>
      <c r="F108" s="4" t="inlineStr">
        <is>
          <t>Tina Aguirre</t>
        </is>
      </c>
      <c r="G108" s="5" t="n">
        <v>94300</v>
      </c>
      <c r="H108" s="5" t="n">
        <v>87472.67999999999</v>
      </c>
      <c r="I108" s="5" t="n">
        <v>76455.85000000001</v>
      </c>
      <c r="J108" s="5" t="n">
        <v>63218.72</v>
      </c>
      <c r="K108" s="5" t="n">
        <v>63218.72</v>
      </c>
      <c r="L108" s="5" t="n">
        <v>0</v>
      </c>
      <c r="M108" s="5" t="n">
        <v>58643.27</v>
      </c>
      <c r="N108" s="5" t="n">
        <v>4575.450000000004</v>
      </c>
      <c r="O108" s="6" t="n">
        <v>0.928</v>
      </c>
      <c r="P108" s="6" t="n">
        <v>0.9276</v>
      </c>
    </row>
    <row r="109">
      <c r="A109" s="4" t="inlineStr">
        <is>
          <t>26-PC-39587</t>
        </is>
      </c>
      <c r="B109" s="4" t="inlineStr">
        <is>
          <t>Ember Valley Curation</t>
        </is>
      </c>
      <c r="C109" s="4" t="inlineStr">
        <is>
          <t>Cost Tracking on Closed Project</t>
        </is>
      </c>
      <c r="D109" s="4" t="inlineStr">
        <is>
          <t>Time and material</t>
        </is>
      </c>
      <c r="E109" s="4" t="inlineStr">
        <is>
          <t>Red Rock</t>
        </is>
      </c>
      <c r="F109" s="4" t="inlineStr">
        <is>
          <t>Javier Newman</t>
        </is>
      </c>
      <c r="G109" s="5" t="n">
        <v>288900</v>
      </c>
      <c r="H109" s="5" t="n">
        <v>0</v>
      </c>
      <c r="I109" s="5" t="n">
        <v>0</v>
      </c>
      <c r="J109" s="5" t="n">
        <v>211965.93</v>
      </c>
      <c r="K109" s="5" t="n">
        <v>211965.93</v>
      </c>
      <c r="L109" s="5" t="n">
        <v>0</v>
      </c>
      <c r="M109" s="5" t="n">
        <v>213449.22</v>
      </c>
      <c r="N109" s="5" t="n">
        <v>-1483.290000000008</v>
      </c>
      <c r="O109" s="6" t="n">
        <v>0</v>
      </c>
      <c r="P109" s="6" t="n">
        <v>1.007</v>
      </c>
    </row>
    <row r="110">
      <c r="A110" s="4" t="inlineStr">
        <is>
          <t>26-PC-39725</t>
        </is>
      </c>
      <c r="B110" s="4" t="inlineStr">
        <is>
          <t>Kestrel Butte Mine Expansion Cultural Resources Assessment</t>
        </is>
      </c>
      <c r="C110" s="4" t="inlineStr">
        <is>
          <t>Cost Tracking on Closed Project</t>
        </is>
      </c>
      <c r="D110" s="4" t="inlineStr">
        <is>
          <t>Fixed fee</t>
        </is>
      </c>
      <c r="E110" s="4" t="inlineStr">
        <is>
          <t>Red Rock</t>
        </is>
      </c>
      <c r="F110" s="4" t="inlineStr">
        <is>
          <t>Tina Aguirre</t>
        </is>
      </c>
      <c r="G110" s="5" t="n">
        <v>115900</v>
      </c>
      <c r="H110" s="5" t="n">
        <v>115900</v>
      </c>
      <c r="I110" s="5" t="n">
        <v>115900</v>
      </c>
      <c r="J110" s="5" t="n">
        <v>86530.94</v>
      </c>
      <c r="K110" s="5" t="n">
        <v>86530.94</v>
      </c>
      <c r="L110" s="5" t="n">
        <v>0</v>
      </c>
      <c r="M110" s="5" t="n">
        <v>99694.97</v>
      </c>
      <c r="N110" s="5" t="n">
        <v>-13164.03</v>
      </c>
      <c r="O110" s="6" t="n">
        <v>1</v>
      </c>
      <c r="P110" s="6" t="n">
        <v>1.1521</v>
      </c>
    </row>
    <row r="111">
      <c r="A111" s="4" t="inlineStr">
        <is>
          <t>26-PC-40334</t>
        </is>
      </c>
      <c r="B111" s="4" t="inlineStr">
        <is>
          <t>Stone Mill Airport Apron - Class III Survey</t>
        </is>
      </c>
      <c r="C111" s="4" t="inlineStr">
        <is>
          <t>In Progress</t>
        </is>
      </c>
      <c r="D111" s="4" t="inlineStr">
        <is>
          <t>Fixed fee</t>
        </is>
      </c>
      <c r="E111" s="4" t="inlineStr">
        <is>
          <t>Sierra North</t>
        </is>
      </c>
      <c r="F111" s="4" t="inlineStr">
        <is>
          <t>Donna Herring</t>
        </is>
      </c>
      <c r="G111" s="5" t="n">
        <v>96900</v>
      </c>
      <c r="H111" s="5" t="n">
        <v>96900</v>
      </c>
      <c r="I111" s="5" t="n">
        <v>90582.42999999999</v>
      </c>
      <c r="J111" s="5" t="n">
        <v>68401.71000000001</v>
      </c>
      <c r="K111" s="5" t="n">
        <v>68401.71000000001</v>
      </c>
      <c r="L111" s="5" t="n">
        <v>0</v>
      </c>
      <c r="M111" s="5" t="n">
        <v>75128.42999999999</v>
      </c>
      <c r="N111" s="5" t="n">
        <v>-6726.719999999987</v>
      </c>
      <c r="O111" s="6" t="n">
        <v>1</v>
      </c>
      <c r="P111" s="6" t="n">
        <v>1.0983</v>
      </c>
    </row>
    <row r="112">
      <c r="A112" s="4" t="inlineStr">
        <is>
          <t>26-PC-41130</t>
        </is>
      </c>
      <c r="B112" s="4" t="inlineStr">
        <is>
          <t>Harbor View Highway Widening Data Recovery</t>
        </is>
      </c>
      <c r="C112" s="4" t="inlineStr">
        <is>
          <t>Cost Tracking on Closed Project</t>
        </is>
      </c>
      <c r="D112" s="4" t="inlineStr">
        <is>
          <t>Time and material</t>
        </is>
      </c>
      <c r="E112" s="4" t="inlineStr">
        <is>
          <t>Coastal Bend</t>
        </is>
      </c>
      <c r="F112" s="4" t="inlineStr">
        <is>
          <t>Steve Rubio</t>
        </is>
      </c>
      <c r="G112" s="5" t="n">
        <v>290300</v>
      </c>
      <c r="H112" s="5" t="n">
        <v>0</v>
      </c>
      <c r="I112" s="5" t="n">
        <v>0</v>
      </c>
      <c r="J112" s="5" t="n">
        <v>219699.04</v>
      </c>
      <c r="K112" s="5" t="n">
        <v>219699.04</v>
      </c>
      <c r="L112" s="5" t="n">
        <v>0</v>
      </c>
      <c r="M112" s="5" t="n">
        <v>201136.18</v>
      </c>
      <c r="N112" s="5" t="n">
        <v>18562.86000000002</v>
      </c>
      <c r="O112" s="6" t="n">
        <v>0</v>
      </c>
      <c r="P112" s="6" t="n">
        <v>0.9155</v>
      </c>
    </row>
    <row r="113">
      <c r="A113" s="4" t="inlineStr">
        <is>
          <t>26-PC-43039</t>
        </is>
      </c>
      <c r="B113" s="4" t="inlineStr">
        <is>
          <t>On-Call: Foxglove Reservoir Phase I Survey</t>
        </is>
      </c>
      <c r="C113" s="4" t="inlineStr">
        <is>
          <t>Final Reporting/Review</t>
        </is>
      </c>
      <c r="D113" s="4" t="inlineStr">
        <is>
          <t>Time and material</t>
        </is>
      </c>
      <c r="E113" s="4" t="inlineStr">
        <is>
          <t>Geospatial</t>
        </is>
      </c>
      <c r="F113" s="4" t="inlineStr">
        <is>
          <t>Sylvia Callahan</t>
        </is>
      </c>
      <c r="G113" s="5" t="n">
        <v>107600</v>
      </c>
      <c r="H113" s="5" t="n">
        <v>107600</v>
      </c>
      <c r="I113" s="5" t="n">
        <v>99262.67</v>
      </c>
      <c r="J113" s="5" t="n">
        <v>77827.42999999999</v>
      </c>
      <c r="K113" s="5" t="n">
        <v>68885.46000000001</v>
      </c>
      <c r="L113" s="5" t="n">
        <v>8941.969999999999</v>
      </c>
      <c r="M113" s="5" t="n">
        <v>89098.75</v>
      </c>
      <c r="N113" s="5" t="n">
        <v>-11271.32000000001</v>
      </c>
      <c r="O113" s="6" t="n">
        <v>1</v>
      </c>
      <c r="P113" s="6" t="n">
        <v>1.1448</v>
      </c>
    </row>
    <row r="114">
      <c r="A114" s="4" t="inlineStr">
        <is>
          <t>26-PC-43546</t>
        </is>
      </c>
      <c r="B114" s="4" t="inlineStr">
        <is>
          <t>Stone Mill Wastewater Plant - GIS Mapping</t>
        </is>
      </c>
      <c r="C114" s="4" t="inlineStr">
        <is>
          <t>In Progress</t>
        </is>
      </c>
      <c r="D114" s="4" t="inlineStr">
        <is>
          <t>Fixed fee</t>
        </is>
      </c>
      <c r="E114" s="4" t="inlineStr">
        <is>
          <t>Meridian Central</t>
        </is>
      </c>
      <c r="F114" s="4" t="inlineStr">
        <is>
          <t>Clinton Solis</t>
        </is>
      </c>
      <c r="G114" s="5" t="n">
        <v>136900</v>
      </c>
      <c r="H114" s="5" t="n">
        <v>131026.99</v>
      </c>
      <c r="I114" s="5" t="n">
        <v>130552.64</v>
      </c>
      <c r="J114" s="5" t="n">
        <v>105043.37</v>
      </c>
      <c r="K114" s="5" t="n">
        <v>105043.37</v>
      </c>
      <c r="L114" s="5" t="n">
        <v>0</v>
      </c>
      <c r="M114" s="5" t="n">
        <v>100533.21</v>
      </c>
      <c r="N114" s="5" t="n">
        <v>4510.159999999989</v>
      </c>
      <c r="O114" s="6" t="n">
        <v>0.957</v>
      </c>
      <c r="P114" s="6" t="n">
        <v>0.9571</v>
      </c>
    </row>
    <row r="115">
      <c r="A115" s="4" t="inlineStr">
        <is>
          <t>26-PC-43986</t>
        </is>
      </c>
      <c r="B115" s="4" t="inlineStr">
        <is>
          <t>Sage Flat Airport Apron Architectural History Survey</t>
        </is>
      </c>
      <c r="C115" s="4" t="inlineStr">
        <is>
          <t>Transferred Entity</t>
        </is>
      </c>
      <c r="D115" s="4" t="inlineStr">
        <is>
          <t>Time and material</t>
        </is>
      </c>
      <c r="E115" s="4" t="inlineStr">
        <is>
          <t>NH Gulf (USD)</t>
        </is>
      </c>
      <c r="F115" s="4" t="inlineStr">
        <is>
          <t>Justin Mejia</t>
        </is>
      </c>
      <c r="G115" s="5" t="n">
        <v>220800</v>
      </c>
      <c r="H115" s="5" t="n">
        <v>218771.2506666667</v>
      </c>
      <c r="I115" s="5" t="n">
        <v>195354</v>
      </c>
      <c r="J115" s="5" t="n">
        <v>146699.52</v>
      </c>
      <c r="K115" s="5" t="n">
        <v>146699.52</v>
      </c>
      <c r="L115" s="5" t="n">
        <v>0</v>
      </c>
      <c r="M115" s="5" t="n">
        <v>136849.0806666667</v>
      </c>
      <c r="N115" s="5" t="n">
        <v>9850.439333333314</v>
      </c>
      <c r="O115" s="6" t="n">
        <v>0.9908118236714976</v>
      </c>
      <c r="P115" s="6" t="n">
        <v>0.9328529545745391</v>
      </c>
    </row>
    <row r="116">
      <c r="A116" s="4" t="inlineStr">
        <is>
          <t>25-PC-44140</t>
        </is>
      </c>
      <c r="B116" s="4" t="inlineStr">
        <is>
          <t>Stone Mill Archaeological Testing</t>
        </is>
      </c>
      <c r="C116" s="4" t="inlineStr">
        <is>
          <t>In Progress</t>
        </is>
      </c>
      <c r="D116" s="4" t="inlineStr">
        <is>
          <t>Fixed fee</t>
        </is>
      </c>
      <c r="E116" s="4" t="inlineStr">
        <is>
          <t>NH Gulf</t>
        </is>
      </c>
      <c r="F116" s="4" t="inlineStr">
        <is>
          <t>Tonya Spence</t>
        </is>
      </c>
      <c r="G116" s="5" t="n">
        <v>149900</v>
      </c>
      <c r="H116" s="5" t="n">
        <v>149510.2586666667</v>
      </c>
      <c r="I116" s="5" t="n">
        <v>130809.0506666667</v>
      </c>
      <c r="J116" s="5" t="n">
        <v>100298.0906666667</v>
      </c>
      <c r="K116" s="5" t="n">
        <v>100298.0906666667</v>
      </c>
      <c r="L116" s="5" t="n">
        <v>0</v>
      </c>
      <c r="M116" s="5" t="n">
        <v>100035.4533333333</v>
      </c>
      <c r="N116" s="5" t="n">
        <v>262.6373333333322</v>
      </c>
      <c r="O116" s="6" t="n">
        <v>0.9973999911051812</v>
      </c>
      <c r="P116" s="6" t="n">
        <v>0.997381432372365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7" customWidth="1" min="3" max="3"/>
    <col width="16" customWidth="1" min="4" max="4"/>
    <col width="16" customWidth="1" min="5" max="5"/>
    <col width="22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2" customWidth="1" min="15" max="15"/>
    <col width="12" customWidth="1" min="16" max="16"/>
  </cols>
  <sheetData>
    <row r="1">
      <c r="D1" s="1" t="inlineStr">
        <is>
          <t>Summary:</t>
        </is>
      </c>
    </row>
    <row r="2">
      <c r="D2" s="8" t="inlineStr">
        <is>
          <t>Total:  79</t>
        </is>
      </c>
    </row>
    <row r="3"/>
    <row r="4"/>
    <row r="5"/>
    <row r="6"/>
    <row r="7"/>
    <row r="8">
      <c r="G8" s="2" t="inlineStr">
        <is>
          <t>Contract Value</t>
        </is>
      </c>
      <c r="H8" s="2" t="inlineStr">
        <is>
          <t>Revenue</t>
        </is>
      </c>
      <c r="I8" s="2" t="inlineStr">
        <is>
          <t>Invoiced Amount</t>
        </is>
      </c>
      <c r="J8" s="2" t="inlineStr">
        <is>
          <t>Total Revised Budget</t>
        </is>
      </c>
      <c r="K8" s="2" t="inlineStr">
        <is>
          <t>Total Budget</t>
        </is>
      </c>
      <c r="L8" s="2" t="inlineStr">
        <is>
          <t>Total Budget Adjustment</t>
        </is>
      </c>
      <c r="M8" s="2" t="inlineStr">
        <is>
          <t>Total Costs</t>
        </is>
      </c>
      <c r="O8" s="2" t="inlineStr">
        <is>
          <t>Recognized %</t>
        </is>
      </c>
    </row>
    <row r="9">
      <c r="G9" s="2" t="inlineStr">
        <is>
          <t>Inception To Date</t>
        </is>
      </c>
      <c r="H9" s="2" t="inlineStr">
        <is>
          <t>Inception To Date</t>
        </is>
      </c>
      <c r="I9" s="2" t="inlineStr">
        <is>
          <t>Inception To Date</t>
        </is>
      </c>
      <c r="J9" s="2" t="inlineStr">
        <is>
          <t>Orig Budget + Adjustments</t>
        </is>
      </c>
      <c r="K9" s="2" t="inlineStr">
        <is>
          <t>Original</t>
        </is>
      </c>
      <c r="L9" s="2" t="inlineStr">
        <is>
          <t>ETC</t>
        </is>
      </c>
      <c r="M9" s="2" t="inlineStr">
        <is>
          <t>Inception To Date</t>
        </is>
      </c>
      <c r="N9" s="2" t="inlineStr">
        <is>
          <t>Inception To Date</t>
        </is>
      </c>
      <c r="O9" s="2" t="inlineStr">
        <is>
          <t>REV REC %</t>
        </is>
      </c>
      <c r="P9" s="2" t="inlineStr">
        <is>
          <t>Budget Spent %</t>
        </is>
      </c>
    </row>
    <row r="10">
      <c r="G10" s="2" t="inlineStr">
        <is>
          <t>September 29, 2026</t>
        </is>
      </c>
      <c r="H10" s="2" t="inlineStr">
        <is>
          <t>September 29, 2026</t>
        </is>
      </c>
      <c r="I10" s="2" t="inlineStr">
        <is>
          <t>September 29, 2026</t>
        </is>
      </c>
      <c r="J10" s="2" t="inlineStr">
        <is>
          <t>September 29, 2026</t>
        </is>
      </c>
      <c r="K10" s="2" t="inlineStr">
        <is>
          <t>September 29, 2026</t>
        </is>
      </c>
      <c r="L10" s="2" t="inlineStr">
        <is>
          <t>September 29, 2026</t>
        </is>
      </c>
      <c r="M10" s="2" t="inlineStr">
        <is>
          <t>September 29, 2026</t>
        </is>
      </c>
      <c r="N10" s="2" t="inlineStr">
        <is>
          <t>September 29, 2026</t>
        </is>
      </c>
      <c r="O10" s="2" t="inlineStr">
        <is>
          <t>September 29, 2026</t>
        </is>
      </c>
    </row>
    <row r="11">
      <c r="A11" s="3" t="inlineStr"/>
      <c r="B11" s="3" t="inlineStr">
        <is>
          <t>Dimension name</t>
        </is>
      </c>
      <c r="C11" s="3" t="inlineStr">
        <is>
          <t>Project status</t>
        </is>
      </c>
      <c r="D11" s="3" t="inlineStr">
        <is>
          <t>Project Billing type</t>
        </is>
      </c>
      <c r="E11" s="3" t="inlineStr">
        <is>
          <t>Location Name</t>
        </is>
      </c>
      <c r="F11" s="3" t="inlineStr">
        <is>
          <t>Project Manager Name</t>
        </is>
      </c>
      <c r="G11" s="3" t="inlineStr">
        <is>
          <t>EOP</t>
        </is>
      </c>
      <c r="H11" s="3" t="inlineStr">
        <is>
          <t>Actual</t>
        </is>
      </c>
      <c r="I11" s="3" t="inlineStr">
        <is>
          <t>Actual</t>
        </is>
      </c>
      <c r="J11" s="3" t="inlineStr">
        <is>
          <t>Actual</t>
        </is>
      </c>
      <c r="K11" s="3" t="inlineStr">
        <is>
          <t>Actual</t>
        </is>
      </c>
      <c r="L11" s="3" t="inlineStr">
        <is>
          <t>Actual</t>
        </is>
      </c>
      <c r="M11" s="3" t="inlineStr">
        <is>
          <t>Actual</t>
        </is>
      </c>
      <c r="N11" s="3" t="inlineStr">
        <is>
          <t>Remaining Budget</t>
        </is>
      </c>
      <c r="O11" s="3" t="inlineStr">
        <is>
          <t>Actual</t>
        </is>
      </c>
      <c r="P11" s="3" t="inlineStr">
        <is>
          <t>Summary</t>
        </is>
      </c>
    </row>
    <row r="12">
      <c r="A12" s="4" t="inlineStr">
        <is>
          <t>23-PC-31769</t>
        </is>
      </c>
      <c r="B12" s="4" t="inlineStr">
        <is>
          <t>Rushgrass Draw Paleontological Monitoring</t>
        </is>
      </c>
      <c r="C12" s="4" t="inlineStr">
        <is>
          <t>In Progress</t>
        </is>
      </c>
      <c r="D12" s="4" t="inlineStr">
        <is>
          <t>Fixed fee</t>
        </is>
      </c>
      <c r="E12" s="4" t="inlineStr">
        <is>
          <t>Cascade</t>
        </is>
      </c>
      <c r="F12" s="4" t="inlineStr">
        <is>
          <t>Gene Nixon</t>
        </is>
      </c>
      <c r="G12" s="5" t="n">
        <v>34800</v>
      </c>
      <c r="H12" s="5" t="n">
        <v>34800</v>
      </c>
      <c r="I12" s="5" t="n">
        <v>34800</v>
      </c>
      <c r="J12" s="5" t="n">
        <v>28779.6</v>
      </c>
      <c r="K12" s="5" t="n">
        <v>28779.6</v>
      </c>
      <c r="L12" s="5" t="n">
        <v>0</v>
      </c>
      <c r="M12" s="5" t="n">
        <v>31540.76</v>
      </c>
      <c r="N12" s="5" t="n">
        <v>-2761.16</v>
      </c>
      <c r="O12" s="6" t="n">
        <v>1</v>
      </c>
      <c r="P12" s="6" t="n">
        <v>1.0959</v>
      </c>
    </row>
    <row r="13">
      <c r="A13" s="4" t="inlineStr">
        <is>
          <t>23-PC-31844</t>
        </is>
      </c>
      <c r="B13" s="4" t="inlineStr">
        <is>
          <t>Task Order 37: Sea Oat Water Main Archaeological Testing</t>
        </is>
      </c>
      <c r="C13" s="4" t="inlineStr">
        <is>
          <t>Cost Tracking on Closed Project</t>
        </is>
      </c>
      <c r="D13" s="4" t="inlineStr">
        <is>
          <t>Fixed fee</t>
        </is>
      </c>
      <c r="E13" s="4" t="inlineStr">
        <is>
          <t>Cascade</t>
        </is>
      </c>
      <c r="F13" s="4" t="inlineStr">
        <is>
          <t>Jeff Spence</t>
        </is>
      </c>
      <c r="G13" s="5" t="n">
        <v>175300</v>
      </c>
      <c r="H13" s="5" t="n">
        <v>175300</v>
      </c>
      <c r="I13" s="5" t="n">
        <v>175300</v>
      </c>
      <c r="J13" s="5" t="n">
        <v>93481.00999999999</v>
      </c>
      <c r="K13" s="5" t="n">
        <v>71376.84</v>
      </c>
      <c r="L13" s="5" t="n">
        <v>22104.17</v>
      </c>
      <c r="M13" s="5" t="n">
        <v>112759.17</v>
      </c>
      <c r="N13" s="5" t="n">
        <v>-19278.16</v>
      </c>
      <c r="O13" s="6" t="n">
        <v>1</v>
      </c>
      <c r="P13" s="6" t="n">
        <v>1.2062</v>
      </c>
    </row>
    <row r="14">
      <c r="A14" s="4" t="inlineStr">
        <is>
          <t>23-PC-33553</t>
        </is>
      </c>
      <c r="B14" s="4" t="inlineStr">
        <is>
          <t>Phase III: Yarrow Point Reservoir Archaeological Testing</t>
        </is>
      </c>
      <c r="C14" s="4" t="inlineStr">
        <is>
          <t>In Progress</t>
        </is>
      </c>
      <c r="D14" s="4" t="inlineStr">
        <is>
          <t>Fixed fee</t>
        </is>
      </c>
      <c r="E14" s="4" t="inlineStr">
        <is>
          <t>Front Range</t>
        </is>
      </c>
      <c r="F14" s="4" t="inlineStr">
        <is>
          <t>Kimberly Daugherty</t>
        </is>
      </c>
      <c r="G14" s="5" t="n">
        <v>21600</v>
      </c>
      <c r="H14" s="5" t="n">
        <v>21600</v>
      </c>
      <c r="I14" s="5" t="n">
        <v>21600</v>
      </c>
      <c r="J14" s="5" t="n">
        <v>15245.28</v>
      </c>
      <c r="K14" s="5" t="n">
        <v>15245.28</v>
      </c>
      <c r="L14" s="5" t="n">
        <v>0</v>
      </c>
      <c r="M14" s="5" t="n">
        <v>16551.79</v>
      </c>
      <c r="N14" s="5" t="n">
        <v>-1306.51</v>
      </c>
      <c r="O14" s="6" t="n">
        <v>1</v>
      </c>
      <c r="P14" s="6" t="n">
        <v>1.0857</v>
      </c>
    </row>
    <row r="15">
      <c r="A15" s="4" t="inlineStr">
        <is>
          <t>23-PC-40537</t>
        </is>
      </c>
      <c r="B15" s="4" t="inlineStr">
        <is>
          <t>Phase I: Tamarack Airport Apron Section 106 Consultation</t>
        </is>
      </c>
      <c r="C15" s="4" t="inlineStr">
        <is>
          <t>Lab/Curation</t>
        </is>
      </c>
      <c r="D15" s="4" t="inlineStr">
        <is>
          <t>Fixed fee</t>
        </is>
      </c>
      <c r="E15" s="4" t="inlineStr">
        <is>
          <t>Sierra</t>
        </is>
      </c>
      <c r="F15" s="4" t="inlineStr">
        <is>
          <t>Louis Huff</t>
        </is>
      </c>
      <c r="G15" s="5" t="n">
        <v>76500</v>
      </c>
      <c r="H15" s="5" t="n">
        <v>76500</v>
      </c>
      <c r="I15" s="5" t="n">
        <v>76500</v>
      </c>
      <c r="J15" s="5" t="n">
        <v>58746.94</v>
      </c>
      <c r="K15" s="5" t="n">
        <v>55119.6</v>
      </c>
      <c r="L15" s="5" t="n">
        <v>3627.34</v>
      </c>
      <c r="M15" s="5" t="n">
        <v>63236.56</v>
      </c>
      <c r="N15" s="5" t="n">
        <v>-4489.619999999995</v>
      </c>
      <c r="O15" s="6" t="n">
        <v>1</v>
      </c>
      <c r="P15" s="6" t="n">
        <v>1.0764</v>
      </c>
    </row>
    <row r="16">
      <c r="A16" s="4" t="inlineStr">
        <is>
          <t>23-PC-41285</t>
        </is>
      </c>
      <c r="B16" s="4" t="inlineStr">
        <is>
          <t>Phase III: Ember Valley Park Improvements Data Recovery</t>
        </is>
      </c>
      <c r="C16" s="4" t="inlineStr">
        <is>
          <t>Cost Tracking on Closed Project</t>
        </is>
      </c>
      <c r="D16" s="4" t="inlineStr">
        <is>
          <t>Fixed fee</t>
        </is>
      </c>
      <c r="E16" s="4" t="inlineStr">
        <is>
          <t>Coastal Bend</t>
        </is>
      </c>
      <c r="F16" s="4" t="inlineStr">
        <is>
          <t>Diane Daniels</t>
        </is>
      </c>
      <c r="G16" s="5" t="n">
        <v>349600</v>
      </c>
      <c r="H16" s="5" t="n">
        <v>349600</v>
      </c>
      <c r="I16" s="5" t="n">
        <v>349600</v>
      </c>
      <c r="J16" s="5" t="n">
        <v>221087.04</v>
      </c>
      <c r="K16" s="5" t="n">
        <v>221087.04</v>
      </c>
      <c r="L16" s="5" t="n">
        <v>0</v>
      </c>
      <c r="M16" s="5" t="n">
        <v>229204.35</v>
      </c>
      <c r="N16" s="5" t="n">
        <v>-8117.309999999998</v>
      </c>
      <c r="O16" s="6" t="n">
        <v>1</v>
      </c>
      <c r="P16" s="6" t="n">
        <v>1.0367</v>
      </c>
    </row>
    <row r="17">
      <c r="A17" s="4" t="inlineStr">
        <is>
          <t>24-PC-30233</t>
        </is>
      </c>
      <c r="B17" s="4" t="inlineStr">
        <is>
          <t>Bramble Creek Mine Expansion Phase I Survey</t>
        </is>
      </c>
      <c r="C17" s="4" t="inlineStr">
        <is>
          <t>In Progress</t>
        </is>
      </c>
      <c r="D17" s="4" t="inlineStr">
        <is>
          <t>Fixed fee</t>
        </is>
      </c>
      <c r="E17" s="4" t="inlineStr">
        <is>
          <t>Big Sky</t>
        </is>
      </c>
      <c r="F17" s="4" t="inlineStr">
        <is>
          <t>Javier Estrada</t>
        </is>
      </c>
      <c r="G17" s="5" t="n">
        <v>93300</v>
      </c>
      <c r="H17" s="5" t="n">
        <v>93300</v>
      </c>
      <c r="I17" s="5" t="n">
        <v>90265.16</v>
      </c>
      <c r="J17" s="5" t="n">
        <v>59544.06</v>
      </c>
      <c r="K17" s="5" t="n">
        <v>59544.06</v>
      </c>
      <c r="L17" s="5" t="n">
        <v>0</v>
      </c>
      <c r="M17" s="5" t="n">
        <v>93708.96000000001</v>
      </c>
      <c r="N17" s="5" t="n">
        <v>-34164.90000000001</v>
      </c>
      <c r="O17" s="6" t="n">
        <v>1</v>
      </c>
      <c r="P17" s="6" t="n">
        <v>1.5738</v>
      </c>
    </row>
    <row r="18">
      <c r="A18" s="4" t="inlineStr">
        <is>
          <t>24-PC-30679</t>
        </is>
      </c>
      <c r="B18" s="4" t="inlineStr">
        <is>
          <t>Kestrel Butte Maritime Remote Sensing Survey</t>
        </is>
      </c>
      <c r="C18" s="4" t="inlineStr">
        <is>
          <t>In Progress</t>
        </is>
      </c>
      <c r="D18" s="4" t="inlineStr">
        <is>
          <t>Fixed fee</t>
        </is>
      </c>
      <c r="E18" s="4" t="inlineStr">
        <is>
          <t>Bluegrass</t>
        </is>
      </c>
      <c r="F18" s="4" t="inlineStr">
        <is>
          <t>Kiara Gillespie</t>
        </is>
      </c>
      <c r="G18" s="5" t="n">
        <v>60600</v>
      </c>
      <c r="H18" s="5" t="n">
        <v>60600</v>
      </c>
      <c r="I18" s="5" t="n">
        <v>60600</v>
      </c>
      <c r="J18" s="5" t="n">
        <v>45577.26</v>
      </c>
      <c r="K18" s="5" t="n">
        <v>45577.26</v>
      </c>
      <c r="L18" s="5" t="n">
        <v>0</v>
      </c>
      <c r="M18" s="5" t="n">
        <v>50596.88</v>
      </c>
      <c r="N18" s="5" t="n">
        <v>-5019.619999999995</v>
      </c>
      <c r="O18" s="6" t="n">
        <v>1</v>
      </c>
      <c r="P18" s="6" t="n">
        <v>1.1101</v>
      </c>
    </row>
    <row r="19">
      <c r="A19" s="4" t="inlineStr">
        <is>
          <t>24-PC-32201</t>
        </is>
      </c>
      <c r="B19" s="4" t="inlineStr">
        <is>
          <t>Task Order 14: Hawk Point Harbor Dredging Maritime Remote Sensing Survey</t>
        </is>
      </c>
      <c r="C19" s="4" t="inlineStr">
        <is>
          <t>In Progress</t>
        </is>
      </c>
      <c r="D19" s="4" t="inlineStr">
        <is>
          <t>Fixed fee</t>
        </is>
      </c>
      <c r="E19" s="4" t="inlineStr">
        <is>
          <t>Chesapeake</t>
        </is>
      </c>
      <c r="F19" s="4" t="inlineStr">
        <is>
          <t>Jason Oconnor</t>
        </is>
      </c>
      <c r="G19" s="5" t="n">
        <v>51800</v>
      </c>
      <c r="H19" s="5" t="n">
        <v>51800</v>
      </c>
      <c r="I19" s="5" t="n">
        <v>50026.67</v>
      </c>
      <c r="J19" s="5" t="n">
        <v>36731.38</v>
      </c>
      <c r="K19" s="5" t="n">
        <v>36731.38</v>
      </c>
      <c r="L19" s="5" t="n">
        <v>0</v>
      </c>
      <c r="M19" s="5" t="n">
        <v>59530.75</v>
      </c>
      <c r="N19" s="5" t="n">
        <v>-22799.37</v>
      </c>
      <c r="O19" s="6" t="n">
        <v>1</v>
      </c>
      <c r="P19" s="6" t="n">
        <v>1.6207</v>
      </c>
    </row>
    <row r="20">
      <c r="A20" s="4" t="inlineStr">
        <is>
          <t>24-PC-32647</t>
        </is>
      </c>
      <c r="B20" s="4" t="inlineStr">
        <is>
          <t>On-Call: Granite Pass Substation Cultural Resources Monitoring</t>
        </is>
      </c>
      <c r="C20" s="4" t="inlineStr">
        <is>
          <t>Final Reporting/Review</t>
        </is>
      </c>
      <c r="D20" s="4" t="inlineStr">
        <is>
          <t>Fixed fee</t>
        </is>
      </c>
      <c r="E20" s="4" t="inlineStr">
        <is>
          <t>Chesapeake</t>
        </is>
      </c>
      <c r="F20" s="4" t="inlineStr">
        <is>
          <t>Alexandria Wilkinson</t>
        </is>
      </c>
      <c r="G20" s="5" t="n">
        <v>84000</v>
      </c>
      <c r="H20" s="5" t="n">
        <v>84000</v>
      </c>
      <c r="I20" s="5" t="n">
        <v>83888.35000000001</v>
      </c>
      <c r="J20" s="5" t="n">
        <v>70198.8</v>
      </c>
      <c r="K20" s="5" t="n">
        <v>70198.8</v>
      </c>
      <c r="L20" s="5" t="n">
        <v>0</v>
      </c>
      <c r="M20" s="5" t="n">
        <v>85361.67</v>
      </c>
      <c r="N20" s="5" t="n">
        <v>-15162.87</v>
      </c>
      <c r="O20" s="6" t="n">
        <v>1</v>
      </c>
      <c r="P20" s="6" t="n">
        <v>1.216</v>
      </c>
    </row>
    <row r="21">
      <c r="A21" s="4" t="inlineStr">
        <is>
          <t>24-PC-36146</t>
        </is>
      </c>
      <c r="B21" s="4" t="inlineStr">
        <is>
          <t>Sea Oat Bridge Replacement Phase II Testing</t>
        </is>
      </c>
      <c r="C21" s="4" t="inlineStr">
        <is>
          <t>Cost Tracking on Closed Project</t>
        </is>
      </c>
      <c r="D21" s="4" t="inlineStr">
        <is>
          <t>Fixed fee</t>
        </is>
      </c>
      <c r="E21" s="4" t="inlineStr">
        <is>
          <t>High Desert</t>
        </is>
      </c>
      <c r="F21" s="4" t="inlineStr">
        <is>
          <t>Kathy Hurley</t>
        </is>
      </c>
      <c r="G21" s="5" t="n">
        <v>58300</v>
      </c>
      <c r="H21" s="5" t="n">
        <v>58300</v>
      </c>
      <c r="I21" s="5" t="n">
        <v>58300</v>
      </c>
      <c r="J21" s="5" t="n">
        <v>39072.66</v>
      </c>
      <c r="K21" s="5" t="n">
        <v>39072.66</v>
      </c>
      <c r="L21" s="5" t="n">
        <v>0</v>
      </c>
      <c r="M21" s="5" t="n">
        <v>45518.79</v>
      </c>
      <c r="N21" s="5" t="n">
        <v>-6446.129999999997</v>
      </c>
      <c r="O21" s="6" t="n">
        <v>1</v>
      </c>
      <c r="P21" s="6" t="n">
        <v>1.165</v>
      </c>
    </row>
    <row r="22">
      <c r="A22" s="4" t="inlineStr">
        <is>
          <t>24-PC-36978</t>
        </is>
      </c>
      <c r="B22" s="4" t="inlineStr">
        <is>
          <t>Slate Ridge Water Main Archaeological Testing</t>
        </is>
      </c>
      <c r="C22" s="4" t="inlineStr">
        <is>
          <t>In Progress</t>
        </is>
      </c>
      <c r="D22" s="4" t="inlineStr">
        <is>
          <t>Fixed fee</t>
        </is>
      </c>
      <c r="E22" s="4" t="inlineStr">
        <is>
          <t>Hill Country</t>
        </is>
      </c>
      <c r="F22" s="4" t="inlineStr">
        <is>
          <t>Glen Delacruz</t>
        </is>
      </c>
      <c r="G22" s="5" t="n">
        <v>141000</v>
      </c>
      <c r="H22" s="5" t="n">
        <v>141000</v>
      </c>
      <c r="I22" s="5" t="n">
        <v>141000</v>
      </c>
      <c r="J22" s="5" t="n">
        <v>113970.3</v>
      </c>
      <c r="K22" s="5" t="n">
        <v>113970.3</v>
      </c>
      <c r="L22" s="5" t="n">
        <v>0</v>
      </c>
      <c r="M22" s="5" t="n">
        <v>138124.06</v>
      </c>
      <c r="N22" s="5" t="n">
        <v>-24153.75999999999</v>
      </c>
      <c r="O22" s="6" t="n">
        <v>1</v>
      </c>
      <c r="P22" s="6" t="n">
        <v>1.2119</v>
      </c>
    </row>
    <row r="23">
      <c r="A23" s="4" t="inlineStr">
        <is>
          <t>24-PC-38486</t>
        </is>
      </c>
      <c r="B23" s="4" t="inlineStr">
        <is>
          <t>Kestrel Butte Phase I Survey</t>
        </is>
      </c>
      <c r="C23" s="4" t="inlineStr">
        <is>
          <t>In Progress</t>
        </is>
      </c>
      <c r="D23" s="4" t="inlineStr">
        <is>
          <t>Fixed fee</t>
        </is>
      </c>
      <c r="E23" s="4" t="inlineStr">
        <is>
          <t>Red Rock</t>
        </is>
      </c>
      <c r="F23" s="4" t="inlineStr">
        <is>
          <t>Jeanette Chung</t>
        </is>
      </c>
      <c r="G23" s="5" t="n">
        <v>153600</v>
      </c>
      <c r="H23" s="5" t="n">
        <v>153600</v>
      </c>
      <c r="I23" s="5" t="n">
        <v>153600</v>
      </c>
      <c r="J23" s="5" t="n">
        <v>105043.81</v>
      </c>
      <c r="K23" s="5" t="n">
        <v>77500.98</v>
      </c>
      <c r="L23" s="5" t="n">
        <v>27542.83</v>
      </c>
      <c r="M23" s="5" t="n">
        <v>119866.24</v>
      </c>
      <c r="N23" s="5" t="n">
        <v>-14822.43000000001</v>
      </c>
      <c r="O23" s="6" t="n">
        <v>1</v>
      </c>
      <c r="P23" s="6" t="n">
        <v>1.1411</v>
      </c>
    </row>
    <row r="24">
      <c r="A24" s="4" t="inlineStr">
        <is>
          <t>24-PC-38790</t>
        </is>
      </c>
      <c r="B24" s="4" t="inlineStr">
        <is>
          <t>Twin Buttes Harbor Dredging Maritime Remote Sensing Survey</t>
        </is>
      </c>
      <c r="C24" s="4" t="inlineStr">
        <is>
          <t>Transferred Entity</t>
        </is>
      </c>
      <c r="D24" s="4" t="inlineStr">
        <is>
          <t>Fixed fee</t>
        </is>
      </c>
      <c r="E24" s="4" t="inlineStr">
        <is>
          <t>Red Rock</t>
        </is>
      </c>
      <c r="F24" s="4" t="inlineStr">
        <is>
          <t>Marisa Odom</t>
        </is>
      </c>
      <c r="G24" s="5" t="n">
        <v>168200</v>
      </c>
      <c r="H24" s="5" t="n">
        <v>168200</v>
      </c>
      <c r="I24" s="5" t="n">
        <v>168200</v>
      </c>
      <c r="J24" s="5" t="n">
        <v>130489.56</v>
      </c>
      <c r="K24" s="5" t="n">
        <v>130489.56</v>
      </c>
      <c r="L24" s="5" t="n">
        <v>0</v>
      </c>
      <c r="M24" s="5" t="n">
        <v>132230.67</v>
      </c>
      <c r="N24" s="5" t="n">
        <v>-1741.110000000015</v>
      </c>
      <c r="O24" s="6" t="n">
        <v>1</v>
      </c>
      <c r="P24" s="6" t="n">
        <v>1.0133</v>
      </c>
    </row>
    <row r="25">
      <c r="A25" s="4" t="inlineStr">
        <is>
          <t>24-PC-39091</t>
        </is>
      </c>
      <c r="B25" s="4" t="inlineStr">
        <is>
          <t>Phase I: Dove Canyon Battery Storage Class III Survey</t>
        </is>
      </c>
      <c r="C25" s="4" t="inlineStr">
        <is>
          <t>In Progress</t>
        </is>
      </c>
      <c r="D25" s="4" t="inlineStr">
        <is>
          <t>Fixed fee</t>
        </is>
      </c>
      <c r="E25" s="4" t="inlineStr">
        <is>
          <t>Red Rock</t>
        </is>
      </c>
      <c r="F25" s="4" t="inlineStr">
        <is>
          <t>Shelia Horne</t>
        </is>
      </c>
      <c r="G25" s="5" t="n">
        <v>100200</v>
      </c>
      <c r="H25" s="5" t="n">
        <v>100200</v>
      </c>
      <c r="I25" s="5" t="n">
        <v>93737.19</v>
      </c>
      <c r="J25" s="5" t="n">
        <v>72685.08</v>
      </c>
      <c r="K25" s="5" t="n">
        <v>72685.08</v>
      </c>
      <c r="L25" s="5" t="n">
        <v>0</v>
      </c>
      <c r="M25" s="5" t="n">
        <v>103671</v>
      </c>
      <c r="N25" s="5" t="n">
        <v>-30985.92</v>
      </c>
      <c r="O25" s="6" t="n">
        <v>1</v>
      </c>
      <c r="P25" s="6" t="n">
        <v>1.4263</v>
      </c>
    </row>
    <row r="26">
      <c r="A26" s="4" t="inlineStr">
        <is>
          <t>24-PC-39308</t>
        </is>
      </c>
      <c r="B26" s="4" t="inlineStr">
        <is>
          <t>Pebble Beach Road Reservoir GIS Mapping</t>
        </is>
      </c>
      <c r="C26" s="4" t="inlineStr">
        <is>
          <t>Cost Tracking on Closed Project</t>
        </is>
      </c>
      <c r="D26" s="4" t="inlineStr">
        <is>
          <t>Fixed fee</t>
        </is>
      </c>
      <c r="E26" s="4" t="inlineStr">
        <is>
          <t>Red Rock</t>
        </is>
      </c>
      <c r="F26" s="4" t="inlineStr">
        <is>
          <t>Shelia Horne</t>
        </is>
      </c>
      <c r="G26" s="5" t="n">
        <v>11000</v>
      </c>
      <c r="H26" s="5" t="n">
        <v>11000</v>
      </c>
      <c r="I26" s="5" t="n">
        <v>11000</v>
      </c>
      <c r="J26" s="5" t="n">
        <v>7227</v>
      </c>
      <c r="K26" s="5" t="n">
        <v>7227</v>
      </c>
      <c r="L26" s="5" t="n">
        <v>0</v>
      </c>
      <c r="M26" s="5" t="n">
        <v>7427.79</v>
      </c>
      <c r="N26" s="5" t="n">
        <v>-200.79</v>
      </c>
      <c r="O26" s="6" t="n">
        <v>1</v>
      </c>
      <c r="P26" s="6" t="n">
        <v>1.0278</v>
      </c>
    </row>
    <row r="27">
      <c r="A27" s="4" t="inlineStr">
        <is>
          <t>24-PC-39825</t>
        </is>
      </c>
      <c r="B27" s="4" t="inlineStr">
        <is>
          <t>On-Call: Twin Buttes Housing Development GIS Mapping</t>
        </is>
      </c>
      <c r="C27" s="4" t="inlineStr">
        <is>
          <t>In Progress</t>
        </is>
      </c>
      <c r="D27" s="4" t="inlineStr">
        <is>
          <t>Fixed fee</t>
        </is>
      </c>
      <c r="E27" s="4" t="inlineStr">
        <is>
          <t>Red Rock</t>
        </is>
      </c>
      <c r="F27" s="4" t="inlineStr">
        <is>
          <t>Bruce Suarez</t>
        </is>
      </c>
      <c r="G27" s="5" t="n">
        <v>17800</v>
      </c>
      <c r="H27" s="5" t="n">
        <v>17800</v>
      </c>
      <c r="I27" s="5" t="n">
        <v>17800</v>
      </c>
      <c r="J27" s="5" t="n">
        <v>14308.95</v>
      </c>
      <c r="K27" s="5" t="n">
        <v>10538.95</v>
      </c>
      <c r="L27" s="5" t="n">
        <v>3770</v>
      </c>
      <c r="M27" s="5" t="n">
        <v>14659.16</v>
      </c>
      <c r="N27" s="5" t="n">
        <v>-350.2099999999991</v>
      </c>
      <c r="O27" s="6" t="n">
        <v>1</v>
      </c>
      <c r="P27" s="6" t="n">
        <v>1.0245</v>
      </c>
    </row>
    <row r="28">
      <c r="A28" s="4" t="inlineStr">
        <is>
          <t>24-PC-40102</t>
        </is>
      </c>
      <c r="B28" s="4" t="inlineStr">
        <is>
          <t>Redbud Class III Survey</t>
        </is>
      </c>
      <c r="C28" s="4" t="inlineStr">
        <is>
          <t>Final Reporting/Review</t>
        </is>
      </c>
      <c r="D28" s="4" t="inlineStr">
        <is>
          <t>Fixed fee</t>
        </is>
      </c>
      <c r="E28" s="4" t="inlineStr">
        <is>
          <t>Sierra</t>
        </is>
      </c>
      <c r="F28" s="4" t="inlineStr">
        <is>
          <t>Benjamin Mathis</t>
        </is>
      </c>
      <c r="G28" s="5" t="n">
        <v>453900</v>
      </c>
      <c r="H28" s="5" t="n">
        <v>453900</v>
      </c>
      <c r="I28" s="5" t="n">
        <v>453900</v>
      </c>
      <c r="J28" s="5" t="n">
        <v>322187.01</v>
      </c>
      <c r="K28" s="5" t="n">
        <v>278794.4</v>
      </c>
      <c r="L28" s="5" t="n">
        <v>43392.61</v>
      </c>
      <c r="M28" s="5" t="n">
        <v>359994.61</v>
      </c>
      <c r="N28" s="5" t="n">
        <v>-37807.59999999998</v>
      </c>
      <c r="O28" s="6" t="n">
        <v>1</v>
      </c>
      <c r="P28" s="6" t="n">
        <v>1.1173</v>
      </c>
    </row>
    <row r="29">
      <c r="A29" s="4" t="inlineStr">
        <is>
          <t>24-PC-40670</t>
        </is>
      </c>
      <c r="B29" s="4" t="inlineStr">
        <is>
          <t>Sumac Ridge Cultural Resources Monitoring</t>
        </is>
      </c>
      <c r="C29" s="4" t="inlineStr">
        <is>
          <t>Final Reporting/Review</t>
        </is>
      </c>
      <c r="D29" s="4" t="inlineStr">
        <is>
          <t>Fixed fee</t>
        </is>
      </c>
      <c r="E29" s="4" t="inlineStr">
        <is>
          <t>Sierra North</t>
        </is>
      </c>
      <c r="F29" s="4" t="inlineStr">
        <is>
          <t>Donna Herring</t>
        </is>
      </c>
      <c r="G29" s="5" t="n">
        <v>22100</v>
      </c>
      <c r="H29" s="5" t="n">
        <v>22100</v>
      </c>
      <c r="I29" s="5" t="n">
        <v>22100</v>
      </c>
      <c r="J29" s="5" t="n">
        <v>17918.68</v>
      </c>
      <c r="K29" s="5" t="n">
        <v>17918.68</v>
      </c>
      <c r="L29" s="5" t="n">
        <v>0</v>
      </c>
      <c r="M29" s="5" t="n">
        <v>33602.1</v>
      </c>
      <c r="N29" s="5" t="n">
        <v>-15683.42</v>
      </c>
      <c r="O29" s="6" t="n">
        <v>1</v>
      </c>
      <c r="P29" s="6" t="n">
        <v>1.8753</v>
      </c>
    </row>
    <row r="30">
      <c r="A30" s="4" t="inlineStr">
        <is>
          <t>24-PC-40824</t>
        </is>
      </c>
      <c r="B30" s="4" t="inlineStr">
        <is>
          <t>Slate Ridge Water Main Maritime Remote Sensing Survey</t>
        </is>
      </c>
      <c r="C30" s="4" t="inlineStr">
        <is>
          <t>Final Reporting/Review</t>
        </is>
      </c>
      <c r="D30" s="4" t="inlineStr">
        <is>
          <t>Fixed fee</t>
        </is>
      </c>
      <c r="E30" s="4" t="inlineStr">
        <is>
          <t>Coastal Bend</t>
        </is>
      </c>
      <c r="F30" s="4" t="inlineStr">
        <is>
          <t>Duane Ballard</t>
        </is>
      </c>
      <c r="G30" s="5" t="n">
        <v>31800</v>
      </c>
      <c r="H30" s="5" t="n">
        <v>31800</v>
      </c>
      <c r="I30" s="5" t="n">
        <v>31800</v>
      </c>
      <c r="J30" s="5" t="n">
        <v>20975.28</v>
      </c>
      <c r="K30" s="5" t="n">
        <v>20975.28</v>
      </c>
      <c r="L30" s="5" t="n">
        <v>0</v>
      </c>
      <c r="M30" s="5" t="n">
        <v>22323.11</v>
      </c>
      <c r="N30" s="5" t="n">
        <v>-1347.830000000002</v>
      </c>
      <c r="O30" s="6" t="n">
        <v>1</v>
      </c>
      <c r="P30" s="6" t="n">
        <v>1.0643</v>
      </c>
    </row>
    <row r="31">
      <c r="A31" s="4" t="inlineStr">
        <is>
          <t>24-PC-40888</t>
        </is>
      </c>
      <c r="B31" s="4" t="inlineStr">
        <is>
          <t>Pine Hollow Battery Storage - Archaeological Testing</t>
        </is>
      </c>
      <c r="C31" s="4" t="inlineStr">
        <is>
          <t>Lab/Curation</t>
        </is>
      </c>
      <c r="D31" s="4" t="inlineStr">
        <is>
          <t>Fixed fee</t>
        </is>
      </c>
      <c r="E31" s="4" t="inlineStr">
        <is>
          <t>Coastal Bend</t>
        </is>
      </c>
      <c r="F31" s="4" t="inlineStr">
        <is>
          <t>Diane Daniels</t>
        </is>
      </c>
      <c r="G31" s="5" t="n">
        <v>579300</v>
      </c>
      <c r="H31" s="5" t="n">
        <v>579300</v>
      </c>
      <c r="I31" s="5" t="n">
        <v>579300</v>
      </c>
      <c r="J31" s="5" t="n">
        <v>392475.75</v>
      </c>
      <c r="K31" s="5" t="n">
        <v>392475.75</v>
      </c>
      <c r="L31" s="5" t="n">
        <v>0</v>
      </c>
      <c r="M31" s="5" t="n">
        <v>413750.74</v>
      </c>
      <c r="N31" s="5" t="n">
        <v>-21274.98999999999</v>
      </c>
      <c r="O31" s="6" t="n">
        <v>1</v>
      </c>
      <c r="P31" s="6" t="n">
        <v>1.0542</v>
      </c>
    </row>
    <row r="32">
      <c r="A32" s="4" t="inlineStr">
        <is>
          <t>24-PC-40956</t>
        </is>
      </c>
      <c r="B32" s="4" t="inlineStr">
        <is>
          <t>Foxglove Airport Apron - Maritime Remote Sensing Survey</t>
        </is>
      </c>
      <c r="C32" s="4" t="inlineStr">
        <is>
          <t>In Progress</t>
        </is>
      </c>
      <c r="D32" s="4" t="inlineStr">
        <is>
          <t>Fixed fee</t>
        </is>
      </c>
      <c r="E32" s="4" t="inlineStr">
        <is>
          <t>Coastal Bend</t>
        </is>
      </c>
      <c r="F32" s="4" t="inlineStr">
        <is>
          <t>Diane Daniels</t>
        </is>
      </c>
      <c r="G32" s="5" t="n">
        <v>8800</v>
      </c>
      <c r="H32" s="5" t="n">
        <v>8800</v>
      </c>
      <c r="I32" s="5" t="n">
        <v>8800</v>
      </c>
      <c r="J32" s="5" t="n">
        <v>6914.16</v>
      </c>
      <c r="K32" s="5" t="n">
        <v>6914.16</v>
      </c>
      <c r="L32" s="5" t="n">
        <v>0</v>
      </c>
      <c r="M32" s="5" t="n">
        <v>7269.9</v>
      </c>
      <c r="N32" s="5" t="n">
        <v>-355.7399999999998</v>
      </c>
      <c r="O32" s="6" t="n">
        <v>1</v>
      </c>
      <c r="P32" s="6" t="n">
        <v>1.0515</v>
      </c>
    </row>
    <row r="33">
      <c r="A33" s="4" t="inlineStr">
        <is>
          <t>24-PC-41119</t>
        </is>
      </c>
      <c r="B33" s="4" t="inlineStr">
        <is>
          <t>Rushgrass Draw Cultural Resources Assessment</t>
        </is>
      </c>
      <c r="C33" s="4" t="inlineStr">
        <is>
          <t>Transferred Entity</t>
        </is>
      </c>
      <c r="D33" s="4" t="inlineStr">
        <is>
          <t>Fixed fee</t>
        </is>
      </c>
      <c r="E33" s="4" t="inlineStr">
        <is>
          <t>Coastal Bend</t>
        </is>
      </c>
      <c r="F33" s="4" t="inlineStr">
        <is>
          <t>Alexis Nixon</t>
        </is>
      </c>
      <c r="G33" s="5" t="n">
        <v>18000</v>
      </c>
      <c r="H33" s="5" t="n">
        <v>18000</v>
      </c>
      <c r="I33" s="5" t="n">
        <v>15244.1</v>
      </c>
      <c r="J33" s="5" t="n">
        <v>12312</v>
      </c>
      <c r="K33" s="5" t="n">
        <v>12312</v>
      </c>
      <c r="L33" s="5" t="n">
        <v>0</v>
      </c>
      <c r="M33" s="5" t="n">
        <v>22722.22</v>
      </c>
      <c r="N33" s="5" t="n">
        <v>-10410.22</v>
      </c>
      <c r="O33" s="6" t="n">
        <v>1</v>
      </c>
      <c r="P33" s="6" t="n">
        <v>1.8455</v>
      </c>
    </row>
    <row r="34">
      <c r="A34" s="4" t="inlineStr">
        <is>
          <t>24-PC-44158</t>
        </is>
      </c>
      <c r="B34" s="4" t="inlineStr">
        <is>
          <t>Saltgrass Environmental Review Support</t>
        </is>
      </c>
      <c r="C34" s="4" t="inlineStr">
        <is>
          <t>Transferred Entity</t>
        </is>
      </c>
      <c r="D34" s="4" t="inlineStr">
        <is>
          <t>Fixed fee</t>
        </is>
      </c>
      <c r="E34" s="4" t="inlineStr">
        <is>
          <t>NH Gulf (USD)</t>
        </is>
      </c>
      <c r="F34" s="4" t="inlineStr">
        <is>
          <t>Vanessa Duarte</t>
        </is>
      </c>
      <c r="G34" s="5" t="n">
        <v>23200</v>
      </c>
      <c r="H34" s="5" t="n">
        <v>23200</v>
      </c>
      <c r="I34" s="5" t="n">
        <v>23148.01066666667</v>
      </c>
      <c r="J34" s="5" t="n">
        <v>15583.44</v>
      </c>
      <c r="K34" s="5" t="n">
        <v>15583.44</v>
      </c>
      <c r="L34" s="5" t="n">
        <v>0</v>
      </c>
      <c r="M34" s="5" t="n">
        <v>16044.04</v>
      </c>
      <c r="N34" s="5" t="n">
        <v>-460.6000000000004</v>
      </c>
      <c r="O34" s="6" t="n">
        <v>1</v>
      </c>
      <c r="P34" s="6" t="n">
        <v>1.029557016935927</v>
      </c>
    </row>
    <row r="35">
      <c r="A35" s="4" t="inlineStr">
        <is>
          <t>25-PC-30581</t>
        </is>
      </c>
      <c r="B35" s="4" t="inlineStr">
        <is>
          <t>Phase II: Foxglove Harbor Dredging Data Recovery</t>
        </is>
      </c>
      <c r="C35" s="4" t="inlineStr">
        <is>
          <t>In Progress</t>
        </is>
      </c>
      <c r="D35" s="4" t="inlineStr">
        <is>
          <t>Fixed fee</t>
        </is>
      </c>
      <c r="E35" s="4" t="inlineStr">
        <is>
          <t>Bluegrass</t>
        </is>
      </c>
      <c r="F35" s="4" t="inlineStr">
        <is>
          <t>Alice Galloway</t>
        </is>
      </c>
      <c r="G35" s="5" t="n">
        <v>19700</v>
      </c>
      <c r="H35" s="5" t="n">
        <v>19700</v>
      </c>
      <c r="I35" s="5" t="n">
        <v>17105.05</v>
      </c>
      <c r="J35" s="5" t="n">
        <v>13027.61</v>
      </c>
      <c r="K35" s="5" t="n">
        <v>13027.61</v>
      </c>
      <c r="L35" s="5" t="n">
        <v>0</v>
      </c>
      <c r="M35" s="5" t="n">
        <v>13683.52</v>
      </c>
      <c r="N35" s="5" t="n">
        <v>-655.9099999999999</v>
      </c>
      <c r="O35" s="6" t="n">
        <v>1</v>
      </c>
      <c r="P35" s="6" t="n">
        <v>1.0503</v>
      </c>
    </row>
    <row r="36">
      <c r="A36" s="4" t="inlineStr">
        <is>
          <t>25-PC-30772</t>
        </is>
      </c>
      <c r="B36" s="4" t="inlineStr">
        <is>
          <t>Sea Oat Cultural Resources Assessment</t>
        </is>
      </c>
      <c r="C36" s="4" t="inlineStr">
        <is>
          <t>In Progress</t>
        </is>
      </c>
      <c r="D36" s="4" t="inlineStr">
        <is>
          <t>Fixed fee</t>
        </is>
      </c>
      <c r="E36" s="4" t="inlineStr">
        <is>
          <t>Bluegrass</t>
        </is>
      </c>
      <c r="F36" s="4" t="inlineStr">
        <is>
          <t>Alice Galloway</t>
        </is>
      </c>
      <c r="G36" s="5" t="n">
        <v>63300</v>
      </c>
      <c r="H36" s="5" t="n">
        <v>63300</v>
      </c>
      <c r="I36" s="5" t="n">
        <v>63300</v>
      </c>
      <c r="J36" s="5" t="n">
        <v>43065.84</v>
      </c>
      <c r="K36" s="5" t="n">
        <v>35870.85</v>
      </c>
      <c r="L36" s="5" t="n">
        <v>7194.99</v>
      </c>
      <c r="M36" s="5" t="n">
        <v>56416.91</v>
      </c>
      <c r="N36" s="5" t="n">
        <v>-13351.07000000001</v>
      </c>
      <c r="O36" s="6" t="n">
        <v>1</v>
      </c>
      <c r="P36" s="6" t="n">
        <v>1.31</v>
      </c>
    </row>
    <row r="37">
      <c r="A37" s="4" t="inlineStr">
        <is>
          <t>25-PC-30803</t>
        </is>
      </c>
      <c r="B37" s="4" t="inlineStr">
        <is>
          <t>Saltgrass Cell Tower Built Environment Survey</t>
        </is>
      </c>
      <c r="C37" s="4" t="inlineStr">
        <is>
          <t>In Progress</t>
        </is>
      </c>
      <c r="D37" s="4" t="inlineStr">
        <is>
          <t>Fixed fee</t>
        </is>
      </c>
      <c r="E37" s="4" t="inlineStr">
        <is>
          <t>Bluegrass</t>
        </is>
      </c>
      <c r="F37" s="4" t="inlineStr">
        <is>
          <t>Alice Galloway</t>
        </is>
      </c>
      <c r="G37" s="5" t="n">
        <v>131000</v>
      </c>
      <c r="H37" s="5" t="n">
        <v>131000</v>
      </c>
      <c r="I37" s="5" t="n">
        <v>122522.64</v>
      </c>
      <c r="J37" s="5" t="n">
        <v>85464.39999999999</v>
      </c>
      <c r="K37" s="5" t="n">
        <v>85464.39999999999</v>
      </c>
      <c r="L37" s="5" t="n">
        <v>0</v>
      </c>
      <c r="M37" s="5" t="n">
        <v>90183.89999999999</v>
      </c>
      <c r="N37" s="5" t="n">
        <v>-4719.5</v>
      </c>
      <c r="O37" s="6" t="n">
        <v>1</v>
      </c>
      <c r="P37" s="6" t="n">
        <v>1.0552</v>
      </c>
    </row>
    <row r="38">
      <c r="A38" s="4" t="inlineStr">
        <is>
          <t>25-PC-31180</t>
        </is>
      </c>
      <c r="B38" s="4" t="inlineStr">
        <is>
          <t>Blue Heron Environmental Review Support</t>
        </is>
      </c>
      <c r="C38" s="4" t="inlineStr">
        <is>
          <t>In Progress</t>
        </is>
      </c>
      <c r="D38" s="4" t="inlineStr">
        <is>
          <t>Fixed fee</t>
        </is>
      </c>
      <c r="E38" s="4" t="inlineStr">
        <is>
          <t>Cascade</t>
        </is>
      </c>
      <c r="F38" s="4" t="inlineStr">
        <is>
          <t>Preston Duarte</t>
        </is>
      </c>
      <c r="G38" s="5" t="n">
        <v>80000</v>
      </c>
      <c r="H38" s="5" t="n">
        <v>80000</v>
      </c>
      <c r="I38" s="5" t="n">
        <v>69747.42999999999</v>
      </c>
      <c r="J38" s="5" t="n">
        <v>60701.89</v>
      </c>
      <c r="K38" s="5" t="n">
        <v>45712.3</v>
      </c>
      <c r="L38" s="5" t="n">
        <v>14989.59</v>
      </c>
      <c r="M38" s="5" t="n">
        <v>64096.36</v>
      </c>
      <c r="N38" s="5" t="n">
        <v>-3394.470000000001</v>
      </c>
      <c r="O38" s="6" t="n">
        <v>1</v>
      </c>
      <c r="P38" s="6" t="n">
        <v>1.0559</v>
      </c>
    </row>
    <row r="39">
      <c r="A39" s="4" t="inlineStr">
        <is>
          <t>25-PC-31330</t>
        </is>
      </c>
      <c r="B39" s="4" t="inlineStr">
        <is>
          <t>Phase I: Kestrel Butte Substation Data Recovery</t>
        </is>
      </c>
      <c r="C39" s="4" t="inlineStr">
        <is>
          <t>Lab/Curation</t>
        </is>
      </c>
      <c r="D39" s="4" t="inlineStr">
        <is>
          <t>Fixed fee</t>
        </is>
      </c>
      <c r="E39" s="4" t="inlineStr">
        <is>
          <t>Cascade</t>
        </is>
      </c>
      <c r="F39" s="4" t="inlineStr">
        <is>
          <t>Donald Lutz</t>
        </is>
      </c>
      <c r="G39" s="5" t="n">
        <v>23500</v>
      </c>
      <c r="H39" s="5" t="n">
        <v>23500</v>
      </c>
      <c r="I39" s="5" t="n">
        <v>23419.06</v>
      </c>
      <c r="J39" s="5" t="n">
        <v>17263.1</v>
      </c>
      <c r="K39" s="5" t="n">
        <v>17263.1</v>
      </c>
      <c r="L39" s="5" t="n">
        <v>0</v>
      </c>
      <c r="M39" s="5" t="n">
        <v>22123.1</v>
      </c>
      <c r="N39" s="5" t="n">
        <v>-4860</v>
      </c>
      <c r="O39" s="6" t="n">
        <v>1</v>
      </c>
      <c r="P39" s="6" t="n">
        <v>1.2815</v>
      </c>
    </row>
    <row r="40">
      <c r="A40" s="4" t="inlineStr">
        <is>
          <t>25-PC-31417</t>
        </is>
      </c>
      <c r="B40" s="4" t="inlineStr">
        <is>
          <t>Sandpiper Park Improvements Phase I Survey</t>
        </is>
      </c>
      <c r="C40" s="4" t="inlineStr">
        <is>
          <t>In Progress</t>
        </is>
      </c>
      <c r="D40" s="4" t="inlineStr">
        <is>
          <t>Fixed fee</t>
        </is>
      </c>
      <c r="E40" s="4" t="inlineStr">
        <is>
          <t>Cascade</t>
        </is>
      </c>
      <c r="F40" s="4" t="inlineStr">
        <is>
          <t>Cassidy Gay</t>
        </is>
      </c>
      <c r="G40" s="5" t="n">
        <v>52000</v>
      </c>
      <c r="H40" s="5" t="n">
        <v>52000</v>
      </c>
      <c r="I40" s="5" t="n">
        <v>49983.77</v>
      </c>
      <c r="J40" s="5" t="n">
        <v>38781.6</v>
      </c>
      <c r="K40" s="5" t="n">
        <v>38781.6</v>
      </c>
      <c r="L40" s="5" t="n">
        <v>0</v>
      </c>
      <c r="M40" s="5" t="n">
        <v>51500.29</v>
      </c>
      <c r="N40" s="5" t="n">
        <v>-12718.69</v>
      </c>
      <c r="O40" s="6" t="n">
        <v>1</v>
      </c>
      <c r="P40" s="6" t="n">
        <v>1.328</v>
      </c>
    </row>
    <row r="41">
      <c r="A41" s="4" t="inlineStr">
        <is>
          <t>25-PC-31590</t>
        </is>
      </c>
      <c r="B41" s="4" t="inlineStr">
        <is>
          <t>Task Order 11: Kestrel Butte Mine Expansion Cultural Resources Monitoring</t>
        </is>
      </c>
      <c r="C41" s="4" t="inlineStr">
        <is>
          <t>In Progress</t>
        </is>
      </c>
      <c r="D41" s="4" t="inlineStr">
        <is>
          <t>Fixed fee</t>
        </is>
      </c>
      <c r="E41" s="4" t="inlineStr">
        <is>
          <t>Cascade</t>
        </is>
      </c>
      <c r="F41" s="4" t="inlineStr">
        <is>
          <t>Jean Cooke</t>
        </is>
      </c>
      <c r="G41" s="5" t="n">
        <v>16800</v>
      </c>
      <c r="H41" s="5" t="n">
        <v>16800</v>
      </c>
      <c r="I41" s="5" t="n">
        <v>16756.9</v>
      </c>
      <c r="J41" s="5" t="n">
        <v>11810.4</v>
      </c>
      <c r="K41" s="5" t="n">
        <v>11810.4</v>
      </c>
      <c r="L41" s="5" t="n">
        <v>0</v>
      </c>
      <c r="M41" s="5" t="n">
        <v>15531.6</v>
      </c>
      <c r="N41" s="5" t="n">
        <v>-3721.200000000001</v>
      </c>
      <c r="O41" s="6" t="n">
        <v>1</v>
      </c>
      <c r="P41" s="6" t="n">
        <v>1.3151</v>
      </c>
    </row>
    <row r="42">
      <c r="A42" s="4" t="inlineStr">
        <is>
          <t>25-PC-31784</t>
        </is>
      </c>
      <c r="B42" s="4" t="inlineStr">
        <is>
          <t>On-Call: Badger Hollow Pipeline Archaeological Testing</t>
        </is>
      </c>
      <c r="C42" s="4" t="inlineStr">
        <is>
          <t>In Progress</t>
        </is>
      </c>
      <c r="D42" s="4" t="inlineStr">
        <is>
          <t>Fixed fee</t>
        </is>
      </c>
      <c r="E42" s="4" t="inlineStr">
        <is>
          <t>Cascade</t>
        </is>
      </c>
      <c r="F42" s="4" t="inlineStr">
        <is>
          <t>Preston Duarte</t>
        </is>
      </c>
      <c r="G42" s="5" t="n">
        <v>216800</v>
      </c>
      <c r="H42" s="5" t="n">
        <v>216800</v>
      </c>
      <c r="I42" s="5" t="n">
        <v>202009.7</v>
      </c>
      <c r="J42" s="5" t="n">
        <v>171337.04</v>
      </c>
      <c r="K42" s="5" t="n">
        <v>171337.04</v>
      </c>
      <c r="L42" s="5" t="n">
        <v>0</v>
      </c>
      <c r="M42" s="5" t="n">
        <v>185663.62</v>
      </c>
      <c r="N42" s="5" t="n">
        <v>-14326.57999999999</v>
      </c>
      <c r="O42" s="6" t="n">
        <v>1</v>
      </c>
      <c r="P42" s="6" t="n">
        <v>1.0836</v>
      </c>
    </row>
    <row r="43">
      <c r="A43" s="4" t="inlineStr">
        <is>
          <t>25-PC-32447</t>
        </is>
      </c>
      <c r="B43" s="4" t="inlineStr">
        <is>
          <t>Pebble Beach Road Archaeological Testing</t>
        </is>
      </c>
      <c r="C43" s="4" t="inlineStr">
        <is>
          <t>In Progress</t>
        </is>
      </c>
      <c r="D43" s="4" t="inlineStr">
        <is>
          <t>Fixed fee</t>
        </is>
      </c>
      <c r="E43" s="4" t="inlineStr">
        <is>
          <t>Chesapeake</t>
        </is>
      </c>
      <c r="F43" s="4" t="inlineStr">
        <is>
          <t>Alexandria Wilkinson</t>
        </is>
      </c>
      <c r="G43" s="5" t="n">
        <v>88200</v>
      </c>
      <c r="H43" s="5" t="n">
        <v>88200</v>
      </c>
      <c r="I43" s="5" t="n">
        <v>88200</v>
      </c>
      <c r="J43" s="5" t="n">
        <v>61772.24</v>
      </c>
      <c r="K43" s="5" t="n">
        <v>55626.38</v>
      </c>
      <c r="L43" s="5" t="n">
        <v>6145.86</v>
      </c>
      <c r="M43" s="5" t="n">
        <v>76703.23</v>
      </c>
      <c r="N43" s="5" t="n">
        <v>-14930.99</v>
      </c>
      <c r="O43" s="6" t="n">
        <v>1</v>
      </c>
      <c r="P43" s="6" t="n">
        <v>1.2417</v>
      </c>
    </row>
    <row r="44">
      <c r="A44" s="4" t="inlineStr">
        <is>
          <t>25-PC-32861</t>
        </is>
      </c>
      <c r="B44" s="4" t="inlineStr">
        <is>
          <t>Yarrow Point Architectural History Survey</t>
        </is>
      </c>
      <c r="C44" s="4" t="inlineStr">
        <is>
          <t>In Progress</t>
        </is>
      </c>
      <c r="D44" s="4" t="inlineStr">
        <is>
          <t>Fixed fee</t>
        </is>
      </c>
      <c r="E44" s="4" t="inlineStr">
        <is>
          <t>Front Range</t>
        </is>
      </c>
      <c r="F44" s="4" t="inlineStr">
        <is>
          <t>Dean Velazquez</t>
        </is>
      </c>
      <c r="G44" s="5" t="n">
        <v>59200</v>
      </c>
      <c r="H44" s="5" t="n">
        <v>59200</v>
      </c>
      <c r="I44" s="5" t="n">
        <v>54224.79</v>
      </c>
      <c r="J44" s="5" t="n">
        <v>41555.52</v>
      </c>
      <c r="K44" s="5" t="n">
        <v>31694.67</v>
      </c>
      <c r="L44" s="5" t="n">
        <v>9860.85</v>
      </c>
      <c r="M44" s="5" t="n">
        <v>49895.36</v>
      </c>
      <c r="N44" s="5" t="n">
        <v>-8339.840000000004</v>
      </c>
      <c r="O44" s="6" t="n">
        <v>1</v>
      </c>
      <c r="P44" s="6" t="n">
        <v>1.2007</v>
      </c>
    </row>
    <row r="45">
      <c r="A45" s="4" t="inlineStr">
        <is>
          <t>25-PC-32899</t>
        </is>
      </c>
      <c r="B45" s="4" t="inlineStr">
        <is>
          <t>Lone Pine Mixed-Use Development Phase I Survey</t>
        </is>
      </c>
      <c r="C45" s="4" t="inlineStr">
        <is>
          <t>In Progress</t>
        </is>
      </c>
      <c r="D45" s="4" t="inlineStr">
        <is>
          <t>Fixed fee</t>
        </is>
      </c>
      <c r="E45" s="4" t="inlineStr">
        <is>
          <t>Front Range</t>
        </is>
      </c>
      <c r="F45" s="4" t="inlineStr">
        <is>
          <t>Jeremy Tran</t>
        </is>
      </c>
      <c r="G45" s="5" t="n">
        <v>59600</v>
      </c>
      <c r="H45" s="5" t="n">
        <v>59600</v>
      </c>
      <c r="I45" s="5" t="n">
        <v>57228.13</v>
      </c>
      <c r="J45" s="5" t="n">
        <v>51399.04</v>
      </c>
      <c r="K45" s="5" t="n">
        <v>51399.04</v>
      </c>
      <c r="L45" s="5" t="n">
        <v>0</v>
      </c>
      <c r="M45" s="5" t="n">
        <v>74823.59</v>
      </c>
      <c r="N45" s="5" t="n">
        <v>-23424.55</v>
      </c>
      <c r="O45" s="6" t="n">
        <v>1</v>
      </c>
      <c r="P45" s="6" t="n">
        <v>1.4557</v>
      </c>
    </row>
    <row r="46">
      <c r="A46" s="4" t="inlineStr">
        <is>
          <t>25-PC-33105</t>
        </is>
      </c>
      <c r="B46" s="4" t="inlineStr">
        <is>
          <t>Redbud Data Recovery</t>
        </is>
      </c>
      <c r="C46" s="4" t="inlineStr">
        <is>
          <t>In Progress</t>
        </is>
      </c>
      <c r="D46" s="4" t="inlineStr">
        <is>
          <t>Fixed fee</t>
        </is>
      </c>
      <c r="E46" s="4" t="inlineStr">
        <is>
          <t>Front Range</t>
        </is>
      </c>
      <c r="F46" s="4" t="inlineStr">
        <is>
          <t>Kimberly Daugherty</t>
        </is>
      </c>
      <c r="G46" s="5" t="n">
        <v>3500</v>
      </c>
      <c r="H46" s="5" t="n">
        <v>3500</v>
      </c>
      <c r="I46" s="5" t="n">
        <v>0</v>
      </c>
      <c r="J46" s="5" t="n">
        <v>2324</v>
      </c>
      <c r="K46" s="5" t="n">
        <v>2324</v>
      </c>
      <c r="L46" s="5" t="n">
        <v>0</v>
      </c>
      <c r="M46" s="5" t="n">
        <v>9006.200000000001</v>
      </c>
      <c r="N46" s="5" t="n">
        <v>-6682.200000000001</v>
      </c>
      <c r="O46" s="6" t="n">
        <v>1</v>
      </c>
      <c r="P46" s="6" t="n">
        <v>3.8753</v>
      </c>
    </row>
    <row r="47">
      <c r="A47" s="4" t="inlineStr">
        <is>
          <t>25-PC-33750</t>
        </is>
      </c>
      <c r="B47" s="4" t="inlineStr">
        <is>
          <t>Kestrel Butte Archaeological Testing</t>
        </is>
      </c>
      <c r="C47" s="4" t="inlineStr">
        <is>
          <t>Transferred Entity</t>
        </is>
      </c>
      <c r="D47" s="4" t="inlineStr">
        <is>
          <t>Fixed fee</t>
        </is>
      </c>
      <c r="E47" s="4" t="inlineStr">
        <is>
          <t>Great Lakes</t>
        </is>
      </c>
      <c r="F47" s="4" t="inlineStr">
        <is>
          <t>Kathleen Galvan</t>
        </is>
      </c>
      <c r="G47" s="5" t="n">
        <v>69600</v>
      </c>
      <c r="H47" s="5" t="n">
        <v>69600</v>
      </c>
      <c r="I47" s="5" t="n">
        <v>64460.42</v>
      </c>
      <c r="J47" s="5" t="n">
        <v>51302.16</v>
      </c>
      <c r="K47" s="5" t="n">
        <v>51302.16</v>
      </c>
      <c r="L47" s="5" t="n">
        <v>0</v>
      </c>
      <c r="M47" s="5" t="n">
        <v>60286.74</v>
      </c>
      <c r="N47" s="5" t="n">
        <v>-8984.579999999994</v>
      </c>
      <c r="O47" s="6" t="n">
        <v>1</v>
      </c>
      <c r="P47" s="6" t="n">
        <v>1.1751</v>
      </c>
    </row>
    <row r="48">
      <c r="A48" s="4" t="inlineStr">
        <is>
          <t>25-PC-33846</t>
        </is>
      </c>
      <c r="B48" s="4" t="inlineStr">
        <is>
          <t>Task Order 30: Bramble Creek Pipeline Environmental Review Support</t>
        </is>
      </c>
      <c r="C48" s="4" t="inlineStr">
        <is>
          <t>Final Reporting/Review</t>
        </is>
      </c>
      <c r="D48" s="4" t="inlineStr">
        <is>
          <t>Fixed fee</t>
        </is>
      </c>
      <c r="E48" s="4" t="inlineStr">
        <is>
          <t>Great Lakes</t>
        </is>
      </c>
      <c r="F48" s="4" t="inlineStr">
        <is>
          <t>Geoffrey Fernandez</t>
        </is>
      </c>
      <c r="G48" s="5" t="n">
        <v>15200</v>
      </c>
      <c r="H48" s="5" t="n">
        <v>15200</v>
      </c>
      <c r="I48" s="5" t="n">
        <v>15200</v>
      </c>
      <c r="J48" s="5" t="n">
        <v>11021.49</v>
      </c>
      <c r="K48" s="5" t="n">
        <v>9579.99</v>
      </c>
      <c r="L48" s="5" t="n">
        <v>1441.5</v>
      </c>
      <c r="M48" s="5" t="n">
        <v>11383.28</v>
      </c>
      <c r="N48" s="5" t="n">
        <v>-361.7900000000009</v>
      </c>
      <c r="O48" s="6" t="n">
        <v>1</v>
      </c>
      <c r="P48" s="6" t="n">
        <v>1.0328</v>
      </c>
    </row>
    <row r="49">
      <c r="A49" s="4" t="inlineStr">
        <is>
          <t>25-PC-33922</t>
        </is>
      </c>
      <c r="B49" s="4" t="inlineStr">
        <is>
          <t>Slate Ridge Data Recovery</t>
        </is>
      </c>
      <c r="C49" s="4" t="inlineStr">
        <is>
          <t>In Progress</t>
        </is>
      </c>
      <c r="D49" s="4" t="inlineStr">
        <is>
          <t>Fixed fee</t>
        </is>
      </c>
      <c r="E49" s="4" t="inlineStr">
        <is>
          <t>Great Lakes</t>
        </is>
      </c>
      <c r="F49" s="4" t="inlineStr">
        <is>
          <t>Nathan Lambert</t>
        </is>
      </c>
      <c r="G49" s="5" t="n">
        <v>22100</v>
      </c>
      <c r="H49" s="5" t="n">
        <v>22100</v>
      </c>
      <c r="I49" s="5" t="n">
        <v>22100</v>
      </c>
      <c r="J49" s="5" t="n">
        <v>16113.11</v>
      </c>
      <c r="K49" s="5" t="n">
        <v>16113.11</v>
      </c>
      <c r="L49" s="5" t="n">
        <v>0</v>
      </c>
      <c r="M49" s="5" t="n">
        <v>33890.09</v>
      </c>
      <c r="N49" s="5" t="n">
        <v>-17776.98</v>
      </c>
      <c r="O49" s="6" t="n">
        <v>1</v>
      </c>
      <c r="P49" s="6" t="n">
        <v>2.1033</v>
      </c>
    </row>
    <row r="50">
      <c r="A50" s="4" t="inlineStr">
        <is>
          <t>25-PC-35340</t>
        </is>
      </c>
      <c r="B50" s="4" t="inlineStr">
        <is>
          <t>Goldfinch Bridge Replacement Paleontological Monitoring</t>
        </is>
      </c>
      <c r="C50" s="4" t="inlineStr">
        <is>
          <t>In Progress</t>
        </is>
      </c>
      <c r="D50" s="4" t="inlineStr">
        <is>
          <t>Fixed fee</t>
        </is>
      </c>
      <c r="E50" s="4" t="inlineStr">
        <is>
          <t>Gulf Coast East</t>
        </is>
      </c>
      <c r="F50" s="4" t="inlineStr">
        <is>
          <t>Bernard Erickson</t>
        </is>
      </c>
      <c r="G50" s="5" t="n">
        <v>19400</v>
      </c>
      <c r="H50" s="5" t="n">
        <v>19400</v>
      </c>
      <c r="I50" s="5" t="n">
        <v>15409.48</v>
      </c>
      <c r="J50" s="5" t="n">
        <v>13919.5</v>
      </c>
      <c r="K50" s="5" t="n">
        <v>13919.5</v>
      </c>
      <c r="L50" s="5" t="n">
        <v>0</v>
      </c>
      <c r="M50" s="5" t="n">
        <v>36287.62</v>
      </c>
      <c r="N50" s="5" t="n">
        <v>-22368.12</v>
      </c>
      <c r="O50" s="6" t="n">
        <v>1</v>
      </c>
      <c r="P50" s="6" t="n">
        <v>2.607</v>
      </c>
    </row>
    <row r="51">
      <c r="A51" s="4" t="inlineStr">
        <is>
          <t>25-PC-35361</t>
        </is>
      </c>
      <c r="B51" s="4" t="inlineStr">
        <is>
          <t>Millbrook Fiber Route - Historic Resources Evaluation</t>
        </is>
      </c>
      <c r="C51" s="4" t="inlineStr">
        <is>
          <t>In Progress</t>
        </is>
      </c>
      <c r="D51" s="4" t="inlineStr">
        <is>
          <t>Fixed fee</t>
        </is>
      </c>
      <c r="E51" s="4" t="inlineStr">
        <is>
          <t>Gulf Coast</t>
        </is>
      </c>
      <c r="F51" s="4" t="inlineStr">
        <is>
          <t>Courtney Daugherty</t>
        </is>
      </c>
      <c r="G51" s="5" t="n">
        <v>25100</v>
      </c>
      <c r="H51" s="5" t="n">
        <v>25100</v>
      </c>
      <c r="I51" s="5" t="n">
        <v>24927.65</v>
      </c>
      <c r="J51" s="5" t="n">
        <v>20032.31</v>
      </c>
      <c r="K51" s="5" t="n">
        <v>20032.31</v>
      </c>
      <c r="L51" s="5" t="n">
        <v>0</v>
      </c>
      <c r="M51" s="5" t="n">
        <v>27206.94</v>
      </c>
      <c r="N51" s="5" t="n">
        <v>-7174.629999999997</v>
      </c>
      <c r="O51" s="6" t="n">
        <v>1</v>
      </c>
      <c r="P51" s="6" t="n">
        <v>1.3582</v>
      </c>
    </row>
    <row r="52">
      <c r="A52" s="4" t="inlineStr">
        <is>
          <t>25-PC-35761</t>
        </is>
      </c>
      <c r="B52" s="4" t="inlineStr">
        <is>
          <t>Hackberry Bend Transmission Line Archaeological Testing</t>
        </is>
      </c>
      <c r="C52" s="4" t="inlineStr">
        <is>
          <t>In Progress</t>
        </is>
      </c>
      <c r="D52" s="4" t="inlineStr">
        <is>
          <t>Fixed fee</t>
        </is>
      </c>
      <c r="E52" s="4" t="inlineStr">
        <is>
          <t>High Desert</t>
        </is>
      </c>
      <c r="F52" s="4" t="inlineStr">
        <is>
          <t>Kathy Hurley</t>
        </is>
      </c>
      <c r="G52" s="5" t="n">
        <v>204800</v>
      </c>
      <c r="H52" s="5" t="n">
        <v>204800</v>
      </c>
      <c r="I52" s="5" t="n">
        <v>187347.98</v>
      </c>
      <c r="J52" s="5" t="n">
        <v>136396.8</v>
      </c>
      <c r="K52" s="5" t="n">
        <v>136396.8</v>
      </c>
      <c r="L52" s="5" t="n">
        <v>0</v>
      </c>
      <c r="M52" s="5" t="n">
        <v>140077.69</v>
      </c>
      <c r="N52" s="5" t="n">
        <v>-3680.890000000014</v>
      </c>
      <c r="O52" s="6" t="n">
        <v>1</v>
      </c>
      <c r="P52" s="6" t="n">
        <v>1.027</v>
      </c>
    </row>
    <row r="53">
      <c r="A53" s="4" t="inlineStr">
        <is>
          <t>25-PC-36251</t>
        </is>
      </c>
      <c r="B53" s="4" t="inlineStr">
        <is>
          <t>Kestrel Butte Environmental Review Support</t>
        </is>
      </c>
      <c r="C53" s="4" t="inlineStr">
        <is>
          <t>Lab/Curation</t>
        </is>
      </c>
      <c r="D53" s="4" t="inlineStr">
        <is>
          <t>Fixed fee</t>
        </is>
      </c>
      <c r="E53" s="4" t="inlineStr">
        <is>
          <t>Island</t>
        </is>
      </c>
      <c r="F53" s="4" t="inlineStr">
        <is>
          <t>Joan Mathis</t>
        </is>
      </c>
      <c r="G53" s="5" t="n">
        <v>39200</v>
      </c>
      <c r="H53" s="5" t="n">
        <v>39200</v>
      </c>
      <c r="I53" s="5" t="n">
        <v>39200</v>
      </c>
      <c r="J53" s="5" t="n">
        <v>30446.64</v>
      </c>
      <c r="K53" s="5" t="n">
        <v>30446.64</v>
      </c>
      <c r="L53" s="5" t="n">
        <v>0</v>
      </c>
      <c r="M53" s="5" t="n">
        <v>49335.55</v>
      </c>
      <c r="N53" s="5" t="n">
        <v>-18888.91</v>
      </c>
      <c r="O53" s="6" t="n">
        <v>1</v>
      </c>
      <c r="P53" s="6" t="n">
        <v>1.6204</v>
      </c>
    </row>
    <row r="54">
      <c r="A54" s="4" t="inlineStr">
        <is>
          <t>25-PC-36485</t>
        </is>
      </c>
      <c r="B54" s="4" t="inlineStr">
        <is>
          <t>Task Order 2: Larkspur Substation Historic Resources Evaluation</t>
        </is>
      </c>
      <c r="C54" s="4" t="inlineStr">
        <is>
          <t>In Progress</t>
        </is>
      </c>
      <c r="D54" s="4" t="inlineStr">
        <is>
          <t>Fixed fee</t>
        </is>
      </c>
      <c r="E54" s="4" t="inlineStr">
        <is>
          <t>Island</t>
        </is>
      </c>
      <c r="F54" s="4" t="inlineStr">
        <is>
          <t>Becky Velazquez</t>
        </is>
      </c>
      <c r="G54" s="5" t="n">
        <v>33100</v>
      </c>
      <c r="H54" s="5" t="n">
        <v>33100</v>
      </c>
      <c r="I54" s="5" t="n">
        <v>33100</v>
      </c>
      <c r="J54" s="5" t="n">
        <v>25870.96</v>
      </c>
      <c r="K54" s="5" t="n">
        <v>25870.96</v>
      </c>
      <c r="L54" s="5" t="n">
        <v>0</v>
      </c>
      <c r="M54" s="5" t="n">
        <v>34277.75</v>
      </c>
      <c r="N54" s="5" t="n">
        <v>-8406.790000000001</v>
      </c>
      <c r="O54" s="6" t="n">
        <v>1</v>
      </c>
      <c r="P54" s="6" t="n">
        <v>1.325</v>
      </c>
    </row>
    <row r="55">
      <c r="A55" s="4" t="inlineStr">
        <is>
          <t>25-PC-36645</t>
        </is>
      </c>
      <c r="B55" s="4" t="inlineStr">
        <is>
          <t>Falcon Mesa Archaeological Testing</t>
        </is>
      </c>
      <c r="C55" s="4" t="inlineStr">
        <is>
          <t>In Progress</t>
        </is>
      </c>
      <c r="D55" s="4" t="inlineStr">
        <is>
          <t>Fixed fee</t>
        </is>
      </c>
      <c r="E55" s="4" t="inlineStr">
        <is>
          <t>Lakeshore</t>
        </is>
      </c>
      <c r="F55" s="4" t="inlineStr">
        <is>
          <t>Jeanette Riddle</t>
        </is>
      </c>
      <c r="G55" s="5" t="n">
        <v>25400</v>
      </c>
      <c r="H55" s="5" t="n">
        <v>25400</v>
      </c>
      <c r="I55" s="5" t="n">
        <v>24158.24</v>
      </c>
      <c r="J55" s="5" t="n">
        <v>20302.22</v>
      </c>
      <c r="K55" s="5" t="n">
        <v>20302.22</v>
      </c>
      <c r="L55" s="5" t="n">
        <v>0</v>
      </c>
      <c r="M55" s="5" t="n">
        <v>38922.61</v>
      </c>
      <c r="N55" s="5" t="n">
        <v>-18620.39</v>
      </c>
      <c r="O55" s="6" t="n">
        <v>1</v>
      </c>
      <c r="P55" s="6" t="n">
        <v>1.9172</v>
      </c>
    </row>
    <row r="56">
      <c r="A56" s="4" t="inlineStr">
        <is>
          <t>25-PC-36761</t>
        </is>
      </c>
      <c r="B56" s="4" t="inlineStr">
        <is>
          <t>Copper Flats Mine Expansion Built Environment Survey</t>
        </is>
      </c>
      <c r="C56" s="4" t="inlineStr">
        <is>
          <t>Final Reporting/Review</t>
        </is>
      </c>
      <c r="D56" s="4" t="inlineStr">
        <is>
          <t>Fixed fee</t>
        </is>
      </c>
      <c r="E56" s="4" t="inlineStr">
        <is>
          <t>Lakeshore</t>
        </is>
      </c>
      <c r="F56" s="4" t="inlineStr">
        <is>
          <t>Jeanette Riddle</t>
        </is>
      </c>
      <c r="G56" s="5" t="n">
        <v>74000</v>
      </c>
      <c r="H56" s="5" t="n">
        <v>74000</v>
      </c>
      <c r="I56" s="5" t="n">
        <v>66065.35000000001</v>
      </c>
      <c r="J56" s="5" t="n">
        <v>56358.4</v>
      </c>
      <c r="K56" s="5" t="n">
        <v>56358.4</v>
      </c>
      <c r="L56" s="5" t="n">
        <v>0</v>
      </c>
      <c r="M56" s="5" t="n">
        <v>66079.16</v>
      </c>
      <c r="N56" s="5" t="n">
        <v>-9720.760000000002</v>
      </c>
      <c r="O56" s="6" t="n">
        <v>1</v>
      </c>
      <c r="P56" s="6" t="n">
        <v>1.1725</v>
      </c>
    </row>
    <row r="57">
      <c r="A57" s="4" t="inlineStr">
        <is>
          <t>25-PC-36799</t>
        </is>
      </c>
      <c r="B57" s="4" t="inlineStr">
        <is>
          <t>Meadowlark Substation Phase I Survey</t>
        </is>
      </c>
      <c r="C57" s="4" t="inlineStr">
        <is>
          <t>Final Reporting/Review</t>
        </is>
      </c>
      <c r="D57" s="4" t="inlineStr">
        <is>
          <t>Fixed fee</t>
        </is>
      </c>
      <c r="E57" s="4" t="inlineStr">
        <is>
          <t>Hill Country</t>
        </is>
      </c>
      <c r="F57" s="4" t="inlineStr">
        <is>
          <t>Gail Meza</t>
        </is>
      </c>
      <c r="G57" s="5" t="n">
        <v>32900</v>
      </c>
      <c r="H57" s="5" t="n">
        <v>32900</v>
      </c>
      <c r="I57" s="5" t="n">
        <v>30883.36</v>
      </c>
      <c r="J57" s="5" t="n">
        <v>26389.09</v>
      </c>
      <c r="K57" s="5" t="n">
        <v>26389.09</v>
      </c>
      <c r="L57" s="5" t="n">
        <v>0</v>
      </c>
      <c r="M57" s="5" t="n">
        <v>33048.52</v>
      </c>
      <c r="N57" s="5" t="n">
        <v>-6659.429999999997</v>
      </c>
      <c r="O57" s="6" t="n">
        <v>1</v>
      </c>
      <c r="P57" s="6" t="n">
        <v>1.2524</v>
      </c>
    </row>
    <row r="58">
      <c r="A58" s="4" t="inlineStr">
        <is>
          <t>25-PC-36809</t>
        </is>
      </c>
      <c r="B58" s="4" t="inlineStr">
        <is>
          <t>Sandpiper Park Improvements - Archaeological Testing</t>
        </is>
      </c>
      <c r="C58" s="4" t="inlineStr">
        <is>
          <t>In Progress</t>
        </is>
      </c>
      <c r="D58" s="4" t="inlineStr">
        <is>
          <t>Fixed fee</t>
        </is>
      </c>
      <c r="E58" s="4" t="inlineStr">
        <is>
          <t>Hill Country</t>
        </is>
      </c>
      <c r="F58" s="4" t="inlineStr">
        <is>
          <t>Samuel Wilkerson</t>
        </is>
      </c>
      <c r="G58" s="5" t="n">
        <v>24200</v>
      </c>
      <c r="H58" s="5" t="n">
        <v>24200</v>
      </c>
      <c r="I58" s="5" t="n">
        <v>22550.8</v>
      </c>
      <c r="J58" s="5" t="n">
        <v>16235.78</v>
      </c>
      <c r="K58" s="5" t="n">
        <v>16235.78</v>
      </c>
      <c r="L58" s="5" t="n">
        <v>0</v>
      </c>
      <c r="M58" s="5" t="n">
        <v>26420.57</v>
      </c>
      <c r="N58" s="5" t="n">
        <v>-10184.79</v>
      </c>
      <c r="O58" s="6" t="n">
        <v>1</v>
      </c>
      <c r="P58" s="6" t="n">
        <v>1.6273</v>
      </c>
    </row>
    <row r="59">
      <c r="A59" s="4" t="inlineStr">
        <is>
          <t>25-PC-37522</t>
        </is>
      </c>
      <c r="B59" s="4" t="inlineStr">
        <is>
          <t>Sparrow Hill Canal Lining Built Environment Survey</t>
        </is>
      </c>
      <c r="C59" s="4" t="inlineStr">
        <is>
          <t>Lab/Curation</t>
        </is>
      </c>
      <c r="D59" s="4" t="inlineStr">
        <is>
          <t>Fixed fee</t>
        </is>
      </c>
      <c r="E59" s="4" t="inlineStr">
        <is>
          <t>Piedmont</t>
        </is>
      </c>
      <c r="F59" s="4" t="inlineStr">
        <is>
          <t>Jody Chung</t>
        </is>
      </c>
      <c r="G59" s="5" t="n">
        <v>21500</v>
      </c>
      <c r="H59" s="5" t="n">
        <v>21500</v>
      </c>
      <c r="I59" s="5" t="n">
        <v>20397.5</v>
      </c>
      <c r="J59" s="5" t="n">
        <v>15617.6</v>
      </c>
      <c r="K59" s="5" t="n">
        <v>15617.6</v>
      </c>
      <c r="L59" s="5" t="n">
        <v>0</v>
      </c>
      <c r="M59" s="5" t="n">
        <v>19499.41</v>
      </c>
      <c r="N59" s="5" t="n">
        <v>-3881.809999999999</v>
      </c>
      <c r="O59" s="6" t="n">
        <v>1</v>
      </c>
      <c r="P59" s="6" t="n">
        <v>1.2486</v>
      </c>
    </row>
    <row r="60">
      <c r="A60" s="4" t="inlineStr">
        <is>
          <t>25-PC-37881</t>
        </is>
      </c>
      <c r="B60" s="4" t="inlineStr">
        <is>
          <t>Phase II: Heron Marsh Mine Expansion Historic Resources Evaluation</t>
        </is>
      </c>
      <c r="C60" s="4" t="inlineStr">
        <is>
          <t>In Progress</t>
        </is>
      </c>
      <c r="D60" s="4" t="inlineStr">
        <is>
          <t>Fixed fee</t>
        </is>
      </c>
      <c r="E60" s="4" t="inlineStr">
        <is>
          <t>Piedmont</t>
        </is>
      </c>
      <c r="F60" s="4" t="inlineStr">
        <is>
          <t>Megan Pineda</t>
        </is>
      </c>
      <c r="G60" s="5" t="n">
        <v>7900</v>
      </c>
      <c r="H60" s="5" t="n">
        <v>7900</v>
      </c>
      <c r="I60" s="5" t="n">
        <v>7900</v>
      </c>
      <c r="J60" s="5" t="n">
        <v>6020.59</v>
      </c>
      <c r="K60" s="5" t="n">
        <v>6020.59</v>
      </c>
      <c r="L60" s="5" t="n">
        <v>0</v>
      </c>
      <c r="M60" s="5" t="n">
        <v>6629.3</v>
      </c>
      <c r="N60" s="5" t="n">
        <v>-608.71</v>
      </c>
      <c r="O60" s="6" t="n">
        <v>1</v>
      </c>
      <c r="P60" s="6" t="n">
        <v>1.1011</v>
      </c>
    </row>
    <row r="61">
      <c r="A61" s="4" t="inlineStr">
        <is>
          <t>25-PC-38754</t>
        </is>
      </c>
      <c r="B61" s="4" t="inlineStr">
        <is>
          <t>On-Call: Sparrow Hill Solar Section 106 Consultation</t>
        </is>
      </c>
      <c r="C61" s="4" t="inlineStr">
        <is>
          <t>In Progress</t>
        </is>
      </c>
      <c r="D61" s="4" t="inlineStr">
        <is>
          <t>Fixed fee</t>
        </is>
      </c>
      <c r="E61" s="4" t="inlineStr">
        <is>
          <t>Red Rock</t>
        </is>
      </c>
      <c r="F61" s="4" t="inlineStr">
        <is>
          <t>Javier Newman</t>
        </is>
      </c>
      <c r="G61" s="5" t="n">
        <v>63900</v>
      </c>
      <c r="H61" s="5" t="n">
        <v>63900</v>
      </c>
      <c r="I61" s="5" t="n">
        <v>60446.65</v>
      </c>
      <c r="J61" s="5" t="n">
        <v>41637.24</v>
      </c>
      <c r="K61" s="5" t="n">
        <v>41637.24</v>
      </c>
      <c r="L61" s="5" t="n">
        <v>0</v>
      </c>
      <c r="M61" s="5" t="n">
        <v>60770.39</v>
      </c>
      <c r="N61" s="5" t="n">
        <v>-19133.15</v>
      </c>
      <c r="O61" s="6" t="n">
        <v>1</v>
      </c>
      <c r="P61" s="6" t="n">
        <v>1.4595</v>
      </c>
    </row>
    <row r="62">
      <c r="A62" s="4" t="inlineStr">
        <is>
          <t>25-PC-38835</t>
        </is>
      </c>
      <c r="B62" s="4" t="inlineStr">
        <is>
          <t>Phase I: Windmill Flat Battery Storage Archaeological Testing</t>
        </is>
      </c>
      <c r="C62" s="4" t="inlineStr">
        <is>
          <t>Final Reporting/Review</t>
        </is>
      </c>
      <c r="D62" s="4" t="inlineStr">
        <is>
          <t>Fixed fee</t>
        </is>
      </c>
      <c r="E62" s="4" t="inlineStr">
        <is>
          <t>Red Rock</t>
        </is>
      </c>
      <c r="F62" s="4" t="inlineStr">
        <is>
          <t>Bruce Suarez</t>
        </is>
      </c>
      <c r="G62" s="5" t="n">
        <v>10400</v>
      </c>
      <c r="H62" s="5" t="n">
        <v>10400</v>
      </c>
      <c r="I62" s="5" t="n">
        <v>9781.639999999999</v>
      </c>
      <c r="J62" s="5" t="n">
        <v>5866.64</v>
      </c>
      <c r="K62" s="5" t="n">
        <v>5866.64</v>
      </c>
      <c r="L62" s="5" t="n">
        <v>0</v>
      </c>
      <c r="M62" s="5" t="n">
        <v>18017.52</v>
      </c>
      <c r="N62" s="5" t="n">
        <v>-12150.88</v>
      </c>
      <c r="O62" s="6" t="n">
        <v>1</v>
      </c>
      <c r="P62" s="6" t="n">
        <v>3.0712</v>
      </c>
    </row>
    <row r="63">
      <c r="A63" s="4" t="inlineStr">
        <is>
          <t>25-PC-39424</t>
        </is>
      </c>
      <c r="B63" s="4" t="inlineStr">
        <is>
          <t>Tansy Flat Cultural Resources Assessment</t>
        </is>
      </c>
      <c r="C63" s="4" t="inlineStr">
        <is>
          <t>In Progress</t>
        </is>
      </c>
      <c r="D63" s="4" t="inlineStr">
        <is>
          <t>Fixed fee</t>
        </is>
      </c>
      <c r="E63" s="4" t="inlineStr">
        <is>
          <t>Red Rock</t>
        </is>
      </c>
      <c r="F63" s="4" t="inlineStr">
        <is>
          <t>Shelia Horne</t>
        </is>
      </c>
      <c r="G63" s="5" t="n">
        <v>19700</v>
      </c>
      <c r="H63" s="5" t="n">
        <v>19700</v>
      </c>
      <c r="I63" s="5" t="n">
        <v>17614.13</v>
      </c>
      <c r="J63" s="5" t="n">
        <v>13882.59</v>
      </c>
      <c r="K63" s="5" t="n">
        <v>13882.59</v>
      </c>
      <c r="L63" s="5" t="n">
        <v>0</v>
      </c>
      <c r="M63" s="5" t="n">
        <v>16267.84</v>
      </c>
      <c r="N63" s="5" t="n">
        <v>-2385.25</v>
      </c>
      <c r="O63" s="6" t="n">
        <v>1</v>
      </c>
      <c r="P63" s="6" t="n">
        <v>1.1718</v>
      </c>
    </row>
    <row r="64">
      <c r="A64" s="4" t="inlineStr">
        <is>
          <t>25-PC-40810</t>
        </is>
      </c>
      <c r="B64" s="4" t="inlineStr">
        <is>
          <t>Goldfinch Mine Expansion Archaeological Testing</t>
        </is>
      </c>
      <c r="C64" s="4" t="inlineStr">
        <is>
          <t>Transferred Entity</t>
        </is>
      </c>
      <c r="D64" s="4" t="inlineStr">
        <is>
          <t>Fixed fee</t>
        </is>
      </c>
      <c r="E64" s="4" t="inlineStr">
        <is>
          <t>Coastal Bend</t>
        </is>
      </c>
      <c r="F64" s="4" t="inlineStr">
        <is>
          <t>Duane Ballard</t>
        </is>
      </c>
      <c r="G64" s="5" t="n">
        <v>50100</v>
      </c>
      <c r="H64" s="5" t="n">
        <v>50100</v>
      </c>
      <c r="I64" s="5" t="n">
        <v>47994.45</v>
      </c>
      <c r="J64" s="5" t="n">
        <v>34844.55</v>
      </c>
      <c r="K64" s="5" t="n">
        <v>34844.55</v>
      </c>
      <c r="L64" s="5" t="n">
        <v>0</v>
      </c>
      <c r="M64" s="5" t="n">
        <v>37556.22</v>
      </c>
      <c r="N64" s="5" t="n">
        <v>-2711.669999999998</v>
      </c>
      <c r="O64" s="6" t="n">
        <v>1</v>
      </c>
      <c r="P64" s="6" t="n">
        <v>1.0778</v>
      </c>
    </row>
    <row r="65">
      <c r="A65" s="4" t="inlineStr">
        <is>
          <t>25-PC-40847</t>
        </is>
      </c>
      <c r="B65" s="4" t="inlineStr">
        <is>
          <t>Quail Run Harbor Dredging - Built Environment Survey</t>
        </is>
      </c>
      <c r="C65" s="4" t="inlineStr">
        <is>
          <t>Final Reporting/Review</t>
        </is>
      </c>
      <c r="D65" s="4" t="inlineStr">
        <is>
          <t>Fixed fee</t>
        </is>
      </c>
      <c r="E65" s="4" t="inlineStr">
        <is>
          <t>Coastal Bend</t>
        </is>
      </c>
      <c r="F65" s="4" t="inlineStr">
        <is>
          <t>Jared Choi</t>
        </is>
      </c>
      <c r="G65" s="5" t="n">
        <v>46800</v>
      </c>
      <c r="H65" s="5" t="n">
        <v>46800</v>
      </c>
      <c r="I65" s="5" t="n">
        <v>46800</v>
      </c>
      <c r="J65" s="5" t="n">
        <v>34243.56</v>
      </c>
      <c r="K65" s="5" t="n">
        <v>34243.56</v>
      </c>
      <c r="L65" s="5" t="n">
        <v>0</v>
      </c>
      <c r="M65" s="5" t="n">
        <v>37494.89</v>
      </c>
      <c r="N65" s="5" t="n">
        <v>-3251.330000000002</v>
      </c>
      <c r="O65" s="6" t="n">
        <v>1</v>
      </c>
      <c r="P65" s="6" t="n">
        <v>1.0949</v>
      </c>
    </row>
    <row r="66">
      <c r="A66" s="4" t="inlineStr">
        <is>
          <t>25-PC-41385</t>
        </is>
      </c>
      <c r="B66" s="4" t="inlineStr">
        <is>
          <t>Tamarack Levee Repair - Historic Resources Evaluation</t>
        </is>
      </c>
      <c r="C66" s="4" t="inlineStr">
        <is>
          <t>In Progress</t>
        </is>
      </c>
      <c r="D66" s="4" t="inlineStr">
        <is>
          <t>Fixed fee</t>
        </is>
      </c>
      <c r="E66" s="4" t="inlineStr">
        <is>
          <t>Coastal Bend</t>
        </is>
      </c>
      <c r="F66" s="4" t="inlineStr">
        <is>
          <t>Diane Daniels</t>
        </is>
      </c>
      <c r="G66" s="5" t="n">
        <v>179800</v>
      </c>
      <c r="H66" s="5" t="n">
        <v>179800</v>
      </c>
      <c r="I66" s="5" t="n">
        <v>170811.36</v>
      </c>
      <c r="J66" s="5" t="n">
        <v>119171.44</v>
      </c>
      <c r="K66" s="5" t="n">
        <v>119171.44</v>
      </c>
      <c r="L66" s="5" t="n">
        <v>0</v>
      </c>
      <c r="M66" s="5" t="n">
        <v>171055.95</v>
      </c>
      <c r="N66" s="5" t="n">
        <v>-51884.51000000001</v>
      </c>
      <c r="O66" s="6" t="n">
        <v>1</v>
      </c>
      <c r="P66" s="6" t="n">
        <v>1.4354</v>
      </c>
    </row>
    <row r="67">
      <c r="A67" s="4" t="inlineStr">
        <is>
          <t>25-PC-43203</t>
        </is>
      </c>
      <c r="B67" s="4" t="inlineStr">
        <is>
          <t>Bramble Creek Mine Expansion Archaeological Testing</t>
        </is>
      </c>
      <c r="C67" s="4" t="inlineStr">
        <is>
          <t>In Progress</t>
        </is>
      </c>
      <c r="D67" s="4" t="inlineStr">
        <is>
          <t>Fixed fee</t>
        </is>
      </c>
      <c r="E67" s="4" t="inlineStr">
        <is>
          <t>Meridian Central</t>
        </is>
      </c>
      <c r="F67" s="4" t="inlineStr">
        <is>
          <t>Seth Zavala</t>
        </is>
      </c>
      <c r="G67" s="5" t="n">
        <v>128400</v>
      </c>
      <c r="H67" s="5" t="n">
        <v>128400</v>
      </c>
      <c r="I67" s="5" t="n">
        <v>128209.36</v>
      </c>
      <c r="J67" s="5" t="n">
        <v>106315.2</v>
      </c>
      <c r="K67" s="5" t="n">
        <v>106315.2</v>
      </c>
      <c r="L67" s="5" t="n">
        <v>0</v>
      </c>
      <c r="M67" s="5" t="n">
        <v>195734.3</v>
      </c>
      <c r="N67" s="5" t="n">
        <v>-89419.09999999999</v>
      </c>
      <c r="O67" s="6" t="n">
        <v>1</v>
      </c>
      <c r="P67" s="6" t="n">
        <v>1.8411</v>
      </c>
    </row>
    <row r="68">
      <c r="A68" s="4" t="inlineStr">
        <is>
          <t>25-PC-43434</t>
        </is>
      </c>
      <c r="B68" s="4" t="inlineStr">
        <is>
          <t>Riverbend Airport Apron - Class III Survey</t>
        </is>
      </c>
      <c r="C68" s="4" t="inlineStr">
        <is>
          <t>Cost Tracking on Closed Project</t>
        </is>
      </c>
      <c r="D68" s="4" t="inlineStr">
        <is>
          <t>Fixed fee</t>
        </is>
      </c>
      <c r="E68" s="4" t="inlineStr">
        <is>
          <t>Meridian Central</t>
        </is>
      </c>
      <c r="F68" s="4" t="inlineStr">
        <is>
          <t>Seth Zavala</t>
        </is>
      </c>
      <c r="G68" s="5" t="n">
        <v>551800</v>
      </c>
      <c r="H68" s="5" t="n">
        <v>551800</v>
      </c>
      <c r="I68" s="5" t="n">
        <v>551800</v>
      </c>
      <c r="J68" s="5" t="n">
        <v>378424.44</v>
      </c>
      <c r="K68" s="5" t="n">
        <v>378424.44</v>
      </c>
      <c r="L68" s="5" t="n">
        <v>0</v>
      </c>
      <c r="M68" s="5" t="n">
        <v>405626.36</v>
      </c>
      <c r="N68" s="5" t="n">
        <v>-27201.91999999998</v>
      </c>
      <c r="O68" s="6" t="n">
        <v>1</v>
      </c>
      <c r="P68" s="6" t="n">
        <v>1.0719</v>
      </c>
    </row>
    <row r="69">
      <c r="A69" s="4" t="inlineStr">
        <is>
          <t>25-PC-43566</t>
        </is>
      </c>
      <c r="B69" s="4" t="inlineStr">
        <is>
          <t>Copper Flats Solar - Phase II Testing</t>
        </is>
      </c>
      <c r="C69" s="4" t="inlineStr">
        <is>
          <t>In Progress</t>
        </is>
      </c>
      <c r="D69" s="4" t="inlineStr">
        <is>
          <t>Fixed fee</t>
        </is>
      </c>
      <c r="E69" s="4" t="inlineStr">
        <is>
          <t>Meridian Central</t>
        </is>
      </c>
      <c r="F69" s="4" t="inlineStr">
        <is>
          <t>Mathew Shea</t>
        </is>
      </c>
      <c r="G69" s="5" t="n">
        <v>114200</v>
      </c>
      <c r="H69" s="5" t="n">
        <v>114200</v>
      </c>
      <c r="I69" s="5" t="n">
        <v>114200</v>
      </c>
      <c r="J69" s="5" t="n">
        <v>73887.39999999999</v>
      </c>
      <c r="K69" s="5" t="n">
        <v>73887.39999999999</v>
      </c>
      <c r="L69" s="5" t="n">
        <v>0</v>
      </c>
      <c r="M69" s="5" t="n">
        <v>131458.02</v>
      </c>
      <c r="N69" s="5" t="n">
        <v>-57570.62</v>
      </c>
      <c r="O69" s="6" t="n">
        <v>1</v>
      </c>
      <c r="P69" s="6" t="n">
        <v>1.7792</v>
      </c>
    </row>
    <row r="70">
      <c r="A70" s="4" t="inlineStr">
        <is>
          <t>25-PC-43621</t>
        </is>
      </c>
      <c r="B70" s="4" t="inlineStr">
        <is>
          <t>Task Order 8: Pine Hollow Highway Widening Historic Resources Evaluation</t>
        </is>
      </c>
      <c r="C70" s="4" t="inlineStr">
        <is>
          <t>In Progress</t>
        </is>
      </c>
      <c r="D70" s="4" t="inlineStr">
        <is>
          <t>Fixed fee</t>
        </is>
      </c>
      <c r="E70" s="4" t="inlineStr">
        <is>
          <t>Meridian Southwest</t>
        </is>
      </c>
      <c r="F70" s="4" t="inlineStr">
        <is>
          <t>Alan Gay</t>
        </is>
      </c>
      <c r="G70" s="5" t="n">
        <v>52800</v>
      </c>
      <c r="H70" s="5" t="n">
        <v>52800</v>
      </c>
      <c r="I70" s="5" t="n">
        <v>52800</v>
      </c>
      <c r="J70" s="5" t="n">
        <v>37979.04</v>
      </c>
      <c r="K70" s="5" t="n">
        <v>37979.04</v>
      </c>
      <c r="L70" s="5" t="n">
        <v>0</v>
      </c>
      <c r="M70" s="5" t="n">
        <v>37986.88</v>
      </c>
      <c r="N70" s="5" t="n">
        <v>-7.839999999996508</v>
      </c>
      <c r="O70" s="6" t="n">
        <v>1</v>
      </c>
      <c r="P70" s="6" t="n">
        <v>1.0002</v>
      </c>
    </row>
    <row r="71">
      <c r="A71" s="4" t="inlineStr">
        <is>
          <t>25-PC-43639</t>
        </is>
      </c>
      <c r="B71" s="4" t="inlineStr">
        <is>
          <t>Windmill Flat Battery Storage Curation</t>
        </is>
      </c>
      <c r="C71" s="4" t="inlineStr">
        <is>
          <t>Final Reporting/Review</t>
        </is>
      </c>
      <c r="D71" s="4" t="inlineStr">
        <is>
          <t>Fixed fee</t>
        </is>
      </c>
      <c r="E71" s="4" t="inlineStr">
        <is>
          <t>Meridian Southwest</t>
        </is>
      </c>
      <c r="F71" s="4" t="inlineStr">
        <is>
          <t>Harold Chaney</t>
        </is>
      </c>
      <c r="G71" s="5" t="n">
        <v>137000</v>
      </c>
      <c r="H71" s="5" t="n">
        <v>137000</v>
      </c>
      <c r="I71" s="5" t="n">
        <v>133193.26</v>
      </c>
      <c r="J71" s="5" t="n">
        <v>91502.3</v>
      </c>
      <c r="K71" s="5" t="n">
        <v>91502.3</v>
      </c>
      <c r="L71" s="5" t="n">
        <v>0</v>
      </c>
      <c r="M71" s="5" t="n">
        <v>100918.9</v>
      </c>
      <c r="N71" s="5" t="n">
        <v>-9416.599999999991</v>
      </c>
      <c r="O71" s="6" t="n">
        <v>1</v>
      </c>
      <c r="P71" s="6" t="n">
        <v>1.1029</v>
      </c>
    </row>
    <row r="72">
      <c r="A72" s="4" t="inlineStr">
        <is>
          <t>25-PC-43653</t>
        </is>
      </c>
      <c r="B72" s="4" t="inlineStr">
        <is>
          <t>Ember Valley Housing Development Paleontological Monitoring</t>
        </is>
      </c>
      <c r="C72" s="4" t="inlineStr">
        <is>
          <t>Lab/Curation</t>
        </is>
      </c>
      <c r="D72" s="4" t="inlineStr">
        <is>
          <t>Fixed fee</t>
        </is>
      </c>
      <c r="E72" s="4" t="inlineStr">
        <is>
          <t>Meridian Southwest</t>
        </is>
      </c>
      <c r="F72" s="4" t="inlineStr">
        <is>
          <t>Reginald Kerr</t>
        </is>
      </c>
      <c r="G72" s="5" t="n">
        <v>92800</v>
      </c>
      <c r="H72" s="5" t="n">
        <v>92800</v>
      </c>
      <c r="I72" s="5" t="n">
        <v>80044.53999999999</v>
      </c>
      <c r="J72" s="5" t="n">
        <v>78211.84</v>
      </c>
      <c r="K72" s="5" t="n">
        <v>78211.84</v>
      </c>
      <c r="L72" s="5" t="n">
        <v>0</v>
      </c>
      <c r="M72" s="5" t="n">
        <v>103245.03</v>
      </c>
      <c r="N72" s="5" t="n">
        <v>-25033.19</v>
      </c>
      <c r="O72" s="6" t="n">
        <v>1</v>
      </c>
      <c r="P72" s="6" t="n">
        <v>1.3201</v>
      </c>
    </row>
    <row r="73">
      <c r="A73" s="4" t="inlineStr">
        <is>
          <t>25-PC-44046</t>
        </is>
      </c>
      <c r="B73" s="4" t="inlineStr">
        <is>
          <t>Kestrel Butte Section 106 Consultation</t>
        </is>
      </c>
      <c r="C73" s="4" t="inlineStr">
        <is>
          <t>Transferred Entity</t>
        </is>
      </c>
      <c r="D73" s="4" t="inlineStr">
        <is>
          <t>Fixed fee</t>
        </is>
      </c>
      <c r="E73" s="4" t="inlineStr">
        <is>
          <t>NH Gulf (USD)</t>
        </is>
      </c>
      <c r="F73" s="4" t="inlineStr">
        <is>
          <t>Randy Cantu</t>
        </is>
      </c>
      <c r="G73" s="5" t="n">
        <v>320300</v>
      </c>
      <c r="H73" s="5" t="n">
        <v>320300</v>
      </c>
      <c r="I73" s="5" t="n">
        <v>320300</v>
      </c>
      <c r="J73" s="5" t="n">
        <v>220526.55</v>
      </c>
      <c r="K73" s="5" t="n">
        <v>220526.55</v>
      </c>
      <c r="L73" s="5" t="n">
        <v>0</v>
      </c>
      <c r="M73" s="5" t="n">
        <v>276639.9</v>
      </c>
      <c r="N73" s="5" t="n">
        <v>-56113.35000000003</v>
      </c>
      <c r="O73" s="6" t="n">
        <v>1</v>
      </c>
      <c r="P73" s="6" t="n">
        <v>1.25445167486636</v>
      </c>
    </row>
    <row r="74">
      <c r="A74" s="4" t="inlineStr">
        <is>
          <t>25-PC-44312</t>
        </is>
      </c>
      <c r="B74" s="4" t="inlineStr">
        <is>
          <t>Task Order 19: Millbrook Bridge Replacement Class III Survey</t>
        </is>
      </c>
      <c r="C74" s="4" t="inlineStr">
        <is>
          <t>In Progress</t>
        </is>
      </c>
      <c r="D74" s="4" t="inlineStr">
        <is>
          <t>Fixed fee</t>
        </is>
      </c>
      <c r="E74" s="4" t="inlineStr">
        <is>
          <t>NH Gulf (USD)</t>
        </is>
      </c>
      <c r="F74" s="4" t="inlineStr">
        <is>
          <t>Randy Cantu</t>
        </is>
      </c>
      <c r="G74" s="5" t="n">
        <v>97000</v>
      </c>
      <c r="H74" s="5" t="n">
        <v>97000</v>
      </c>
      <c r="I74" s="5" t="n">
        <v>91499.34</v>
      </c>
      <c r="J74" s="5" t="n">
        <v>71004</v>
      </c>
      <c r="K74" s="5" t="n">
        <v>71004</v>
      </c>
      <c r="L74" s="5" t="n">
        <v>0</v>
      </c>
      <c r="M74" s="5" t="n">
        <v>79042.17</v>
      </c>
      <c r="N74" s="5" t="n">
        <v>-8038.169999999998</v>
      </c>
      <c r="O74" s="6" t="n">
        <v>1</v>
      </c>
      <c r="P74" s="6" t="n">
        <v>1.1132</v>
      </c>
    </row>
    <row r="75">
      <c r="A75" s="4" t="inlineStr">
        <is>
          <t>26-PC-30501</t>
        </is>
      </c>
      <c r="B75" s="4" t="inlineStr">
        <is>
          <t>Hackberry Bend Bridge Replacement Architectural History Survey</t>
        </is>
      </c>
      <c r="C75" s="4" t="inlineStr">
        <is>
          <t>In Progress</t>
        </is>
      </c>
      <c r="D75" s="4" t="inlineStr">
        <is>
          <t>Fixed fee</t>
        </is>
      </c>
      <c r="E75" s="4" t="inlineStr">
        <is>
          <t>Big Sky</t>
        </is>
      </c>
      <c r="F75" s="4" t="inlineStr">
        <is>
          <t>Brendan Melton</t>
        </is>
      </c>
      <c r="G75" s="5" t="n">
        <v>19900</v>
      </c>
      <c r="H75" s="5" t="n">
        <v>19900</v>
      </c>
      <c r="I75" s="5" t="n">
        <v>19400.11</v>
      </c>
      <c r="J75" s="5" t="n">
        <v>14258.19</v>
      </c>
      <c r="K75" s="5" t="n">
        <v>12707.2</v>
      </c>
      <c r="L75" s="5" t="n">
        <v>1550.99</v>
      </c>
      <c r="M75" s="5" t="n">
        <v>18074.33</v>
      </c>
      <c r="N75" s="5" t="n">
        <v>-3816.140000000001</v>
      </c>
      <c r="O75" s="6" t="n">
        <v>1</v>
      </c>
      <c r="P75" s="6" t="n">
        <v>1.2676</v>
      </c>
    </row>
    <row r="76">
      <c r="A76" s="4" t="inlineStr">
        <is>
          <t>26-PC-31064</t>
        </is>
      </c>
      <c r="B76" s="4" t="inlineStr">
        <is>
          <t>Quail Run Archaeological Testing</t>
        </is>
      </c>
      <c r="C76" s="4" t="inlineStr">
        <is>
          <t>Cost Tracking on Closed Project</t>
        </is>
      </c>
      <c r="D76" s="4" t="inlineStr">
        <is>
          <t>Fixed fee</t>
        </is>
      </c>
      <c r="E76" s="4" t="inlineStr">
        <is>
          <t>Cascade</t>
        </is>
      </c>
      <c r="F76" s="4" t="inlineStr">
        <is>
          <t>Gene Nixon</t>
        </is>
      </c>
      <c r="G76" s="5" t="n">
        <v>74500</v>
      </c>
      <c r="H76" s="5" t="n">
        <v>74500</v>
      </c>
      <c r="I76" s="5" t="n">
        <v>74500</v>
      </c>
      <c r="J76" s="5" t="n">
        <v>60394.3</v>
      </c>
      <c r="K76" s="5" t="n">
        <v>53043.19</v>
      </c>
      <c r="L76" s="5" t="n">
        <v>7351.11</v>
      </c>
      <c r="M76" s="5" t="n">
        <v>76340.83</v>
      </c>
      <c r="N76" s="5" t="n">
        <v>-15946.53</v>
      </c>
      <c r="O76" s="6" t="n">
        <v>1</v>
      </c>
      <c r="P76" s="6" t="n">
        <v>1.264</v>
      </c>
    </row>
    <row r="77">
      <c r="A77" s="4" t="inlineStr">
        <is>
          <t>26-PC-33703</t>
        </is>
      </c>
      <c r="B77" s="4" t="inlineStr">
        <is>
          <t>Plover Cove Mixed-Use Development - GIS Mapping</t>
        </is>
      </c>
      <c r="C77" s="4" t="inlineStr">
        <is>
          <t>Final Reporting/Review</t>
        </is>
      </c>
      <c r="D77" s="4" t="inlineStr">
        <is>
          <t>Fixed fee</t>
        </is>
      </c>
      <c r="E77" s="4" t="inlineStr">
        <is>
          <t>Great Lakes</t>
        </is>
      </c>
      <c r="F77" s="4" t="inlineStr">
        <is>
          <t>Karl Valenzuela</t>
        </is>
      </c>
      <c r="G77" s="5" t="n">
        <v>21700</v>
      </c>
      <c r="H77" s="5" t="n">
        <v>21700</v>
      </c>
      <c r="I77" s="5" t="n">
        <v>11375.68</v>
      </c>
      <c r="J77" s="5" t="n">
        <v>18501.42</v>
      </c>
      <c r="K77" s="5" t="n">
        <v>18501.42</v>
      </c>
      <c r="L77" s="5" t="n">
        <v>0</v>
      </c>
      <c r="M77" s="5" t="n">
        <v>21928.62</v>
      </c>
      <c r="N77" s="5" t="n">
        <v>-3427.200000000001</v>
      </c>
      <c r="O77" s="6" t="n">
        <v>1</v>
      </c>
      <c r="P77" s="6" t="n">
        <v>1.1852</v>
      </c>
    </row>
    <row r="78">
      <c r="A78" s="4" t="inlineStr">
        <is>
          <t>26-PC-34101</t>
        </is>
      </c>
      <c r="B78" s="4" t="inlineStr">
        <is>
          <t>North Fork Rail Siding Paleontological Monitoring</t>
        </is>
      </c>
      <c r="C78" s="4" t="inlineStr">
        <is>
          <t>In Progress</t>
        </is>
      </c>
      <c r="D78" s="4" t="inlineStr">
        <is>
          <t>Fixed fee</t>
        </is>
      </c>
      <c r="E78" s="4" t="inlineStr">
        <is>
          <t>Great Lakes</t>
        </is>
      </c>
      <c r="F78" s="4" t="inlineStr">
        <is>
          <t>Nathan Lambert</t>
        </is>
      </c>
      <c r="G78" s="5" t="n">
        <v>76400</v>
      </c>
      <c r="H78" s="5" t="n">
        <v>76400</v>
      </c>
      <c r="I78" s="5" t="n">
        <v>70250.02</v>
      </c>
      <c r="J78" s="5" t="n">
        <v>53087.85</v>
      </c>
      <c r="K78" s="5" t="n">
        <v>46646.64</v>
      </c>
      <c r="L78" s="5" t="n">
        <v>6441.21</v>
      </c>
      <c r="M78" s="5" t="n">
        <v>80951.17999999999</v>
      </c>
      <c r="N78" s="5" t="n">
        <v>-27863.32999999999</v>
      </c>
      <c r="O78" s="6" t="n">
        <v>1</v>
      </c>
      <c r="P78" s="6" t="n">
        <v>1.5249</v>
      </c>
    </row>
    <row r="79">
      <c r="A79" s="4" t="inlineStr">
        <is>
          <t>26-PC-35103</t>
        </is>
      </c>
      <c r="B79" s="4" t="inlineStr">
        <is>
          <t>Kestrel Butte Harbor Dredging - Historic Resources Evaluation</t>
        </is>
      </c>
      <c r="C79" s="4" t="inlineStr">
        <is>
          <t>In Progress</t>
        </is>
      </c>
      <c r="D79" s="4" t="inlineStr">
        <is>
          <t>Fixed fee</t>
        </is>
      </c>
      <c r="E79" s="4" t="inlineStr">
        <is>
          <t>Gulf Coast East</t>
        </is>
      </c>
      <c r="F79" s="4" t="inlineStr">
        <is>
          <t>Courtney Daugherty</t>
        </is>
      </c>
      <c r="G79" s="5" t="n">
        <v>29600</v>
      </c>
      <c r="H79" s="5" t="n">
        <v>29600</v>
      </c>
      <c r="I79" s="5" t="n">
        <v>22003.12</v>
      </c>
      <c r="J79" s="5" t="n">
        <v>19287.36</v>
      </c>
      <c r="K79" s="5" t="n">
        <v>19287.36</v>
      </c>
      <c r="L79" s="5" t="n">
        <v>0</v>
      </c>
      <c r="M79" s="5" t="n">
        <v>56287.28</v>
      </c>
      <c r="N79" s="5" t="n">
        <v>-36999.92</v>
      </c>
      <c r="O79" s="6" t="n">
        <v>1</v>
      </c>
      <c r="P79" s="6" t="n">
        <v>2.9184</v>
      </c>
    </row>
    <row r="80">
      <c r="A80" s="4" t="inlineStr">
        <is>
          <t>26-PC-35766</t>
        </is>
      </c>
      <c r="B80" s="4" t="inlineStr">
        <is>
          <t>Eagle Bend Solar - Architectural History Survey</t>
        </is>
      </c>
      <c r="C80" s="4" t="inlineStr">
        <is>
          <t>Cost Tracking on Closed Project</t>
        </is>
      </c>
      <c r="D80" s="4" t="inlineStr">
        <is>
          <t>Fixed fee</t>
        </is>
      </c>
      <c r="E80" s="4" t="inlineStr">
        <is>
          <t>High Desert</t>
        </is>
      </c>
      <c r="F80" s="4" t="inlineStr">
        <is>
          <t>Jody Wang</t>
        </is>
      </c>
      <c r="G80" s="5" t="n">
        <v>26300</v>
      </c>
      <c r="H80" s="5" t="n">
        <v>26300</v>
      </c>
      <c r="I80" s="5" t="n">
        <v>26300</v>
      </c>
      <c r="J80" s="5" t="n">
        <v>19575.09</v>
      </c>
      <c r="K80" s="5" t="n">
        <v>19575.09</v>
      </c>
      <c r="L80" s="5" t="n">
        <v>0</v>
      </c>
      <c r="M80" s="5" t="n">
        <v>22787.95</v>
      </c>
      <c r="N80" s="5" t="n">
        <v>-3212.860000000001</v>
      </c>
      <c r="O80" s="6" t="n">
        <v>1</v>
      </c>
      <c r="P80" s="6" t="n">
        <v>1.1641</v>
      </c>
    </row>
    <row r="81">
      <c r="A81" s="4" t="inlineStr">
        <is>
          <t>26-PC-37709</t>
        </is>
      </c>
      <c r="B81" s="4" t="inlineStr">
        <is>
          <t>Sage Flat Phase I Survey</t>
        </is>
      </c>
      <c r="C81" s="4" t="inlineStr">
        <is>
          <t>Final Reporting/Review</t>
        </is>
      </c>
      <c r="D81" s="4" t="inlineStr">
        <is>
          <t>Fixed fee</t>
        </is>
      </c>
      <c r="E81" s="4" t="inlineStr">
        <is>
          <t>Piedmont</t>
        </is>
      </c>
      <c r="F81" s="4" t="inlineStr">
        <is>
          <t>Maria Parrish</t>
        </is>
      </c>
      <c r="G81" s="5" t="n">
        <v>31500</v>
      </c>
      <c r="H81" s="5" t="n">
        <v>31500</v>
      </c>
      <c r="I81" s="5" t="n">
        <v>16533.22</v>
      </c>
      <c r="J81" s="5" t="n">
        <v>21725.55</v>
      </c>
      <c r="K81" s="5" t="n">
        <v>21725.55</v>
      </c>
      <c r="L81" s="5" t="n">
        <v>0</v>
      </c>
      <c r="M81" s="5" t="n">
        <v>30289.1</v>
      </c>
      <c r="N81" s="5" t="n">
        <v>-8563.549999999999</v>
      </c>
      <c r="O81" s="6" t="n">
        <v>1</v>
      </c>
      <c r="P81" s="6" t="n">
        <v>1.3942</v>
      </c>
    </row>
    <row r="82">
      <c r="A82" s="4" t="inlineStr">
        <is>
          <t>26-PC-38624</t>
        </is>
      </c>
      <c r="B82" s="4" t="inlineStr">
        <is>
          <t>Juniper Wash Built Environment Survey</t>
        </is>
      </c>
      <c r="C82" s="4" t="inlineStr">
        <is>
          <t>Cost Tracking on Closed Project</t>
        </is>
      </c>
      <c r="D82" s="4" t="inlineStr">
        <is>
          <t>Fixed fee</t>
        </is>
      </c>
      <c r="E82" s="4" t="inlineStr">
        <is>
          <t>Red Rock</t>
        </is>
      </c>
      <c r="F82" s="4" t="inlineStr">
        <is>
          <t>Bruce Suarez</t>
        </is>
      </c>
      <c r="G82" s="5" t="n">
        <v>77900</v>
      </c>
      <c r="H82" s="5" t="n">
        <v>77900</v>
      </c>
      <c r="I82" s="5" t="n">
        <v>77900</v>
      </c>
      <c r="J82" s="5" t="n">
        <v>56578.77</v>
      </c>
      <c r="K82" s="5" t="n">
        <v>56578.77</v>
      </c>
      <c r="L82" s="5" t="n">
        <v>0</v>
      </c>
      <c r="M82" s="5" t="n">
        <v>73552.39999999999</v>
      </c>
      <c r="N82" s="5" t="n">
        <v>-16973.63</v>
      </c>
      <c r="O82" s="6" t="n">
        <v>1</v>
      </c>
      <c r="P82" s="6" t="n">
        <v>1.3</v>
      </c>
    </row>
    <row r="83">
      <c r="A83" s="4" t="inlineStr">
        <is>
          <t>26-PC-39725</t>
        </is>
      </c>
      <c r="B83" s="4" t="inlineStr">
        <is>
          <t>Kestrel Butte Mine Expansion Cultural Resources Assessment</t>
        </is>
      </c>
      <c r="C83" s="4" t="inlineStr">
        <is>
          <t>Cost Tracking on Closed Project</t>
        </is>
      </c>
      <c r="D83" s="4" t="inlineStr">
        <is>
          <t>Fixed fee</t>
        </is>
      </c>
      <c r="E83" s="4" t="inlineStr">
        <is>
          <t>Red Rock</t>
        </is>
      </c>
      <c r="F83" s="4" t="inlineStr">
        <is>
          <t>Tina Aguirre</t>
        </is>
      </c>
      <c r="G83" s="5" t="n">
        <v>115900</v>
      </c>
      <c r="H83" s="5" t="n">
        <v>115900</v>
      </c>
      <c r="I83" s="5" t="n">
        <v>115900</v>
      </c>
      <c r="J83" s="5" t="n">
        <v>86530.94</v>
      </c>
      <c r="K83" s="5" t="n">
        <v>86530.94</v>
      </c>
      <c r="L83" s="5" t="n">
        <v>0</v>
      </c>
      <c r="M83" s="5" t="n">
        <v>99694.97</v>
      </c>
      <c r="N83" s="5" t="n">
        <v>-13164.03</v>
      </c>
      <c r="O83" s="6" t="n">
        <v>1</v>
      </c>
      <c r="P83" s="6" t="n">
        <v>1.1521</v>
      </c>
    </row>
    <row r="84">
      <c r="A84" s="4" t="inlineStr">
        <is>
          <t>26-PC-40334</t>
        </is>
      </c>
      <c r="B84" s="4" t="inlineStr">
        <is>
          <t>Stone Mill Airport Apron - Class III Survey</t>
        </is>
      </c>
      <c r="C84" s="4" t="inlineStr">
        <is>
          <t>In Progress</t>
        </is>
      </c>
      <c r="D84" s="4" t="inlineStr">
        <is>
          <t>Fixed fee</t>
        </is>
      </c>
      <c r="E84" s="4" t="inlineStr">
        <is>
          <t>Sierra North</t>
        </is>
      </c>
      <c r="F84" s="4" t="inlineStr">
        <is>
          <t>Donna Herring</t>
        </is>
      </c>
      <c r="G84" s="5" t="n">
        <v>96900</v>
      </c>
      <c r="H84" s="5" t="n">
        <v>96900</v>
      </c>
      <c r="I84" s="5" t="n">
        <v>90582.42999999999</v>
      </c>
      <c r="J84" s="5" t="n">
        <v>68401.71000000001</v>
      </c>
      <c r="K84" s="5" t="n">
        <v>68401.71000000001</v>
      </c>
      <c r="L84" s="5" t="n">
        <v>0</v>
      </c>
      <c r="M84" s="5" t="n">
        <v>75128.42999999999</v>
      </c>
      <c r="N84" s="5" t="n">
        <v>-6726.719999999987</v>
      </c>
      <c r="O84" s="6" t="n">
        <v>1</v>
      </c>
      <c r="P84" s="6" t="n">
        <v>1.0983</v>
      </c>
    </row>
    <row r="85">
      <c r="A85" s="4" t="inlineStr">
        <is>
          <t>26-PC-40344</t>
        </is>
      </c>
      <c r="B85" s="4" t="inlineStr">
        <is>
          <t>Tansy Flat Housing Development - Archaeological Testing</t>
        </is>
      </c>
      <c r="C85" s="4" t="inlineStr">
        <is>
          <t>Final Reporting/Review</t>
        </is>
      </c>
      <c r="D85" s="4" t="inlineStr">
        <is>
          <t>Fixed fee</t>
        </is>
      </c>
      <c r="E85" s="4" t="inlineStr">
        <is>
          <t>Sierra</t>
        </is>
      </c>
      <c r="F85" s="4" t="inlineStr">
        <is>
          <t>Louis Huff</t>
        </is>
      </c>
      <c r="G85" s="5" t="n">
        <v>19200</v>
      </c>
      <c r="H85" s="5" t="n">
        <v>19200</v>
      </c>
      <c r="I85" s="5" t="n">
        <v>16759.26</v>
      </c>
      <c r="J85" s="5" t="n">
        <v>14098.56</v>
      </c>
      <c r="K85" s="5" t="n">
        <v>14098.56</v>
      </c>
      <c r="L85" s="5" t="n">
        <v>0</v>
      </c>
      <c r="M85" s="5" t="n">
        <v>18399.82</v>
      </c>
      <c r="N85" s="5" t="n">
        <v>-4301.26</v>
      </c>
      <c r="O85" s="6" t="n">
        <v>1</v>
      </c>
      <c r="P85" s="6" t="n">
        <v>1.3051</v>
      </c>
    </row>
    <row r="86">
      <c r="A86" s="4" t="inlineStr">
        <is>
          <t>26-PC-40422</t>
        </is>
      </c>
      <c r="B86" s="4" t="inlineStr">
        <is>
          <t>Oak Terrace Mixed-Use Development - Architectural History Survey</t>
        </is>
      </c>
      <c r="C86" s="4" t="inlineStr">
        <is>
          <t>Final Reporting/Review</t>
        </is>
      </c>
      <c r="D86" s="4" t="inlineStr">
        <is>
          <t>Fixed fee</t>
        </is>
      </c>
      <c r="E86" s="4" t="inlineStr">
        <is>
          <t>Sierra South</t>
        </is>
      </c>
      <c r="F86" s="4" t="inlineStr">
        <is>
          <t>Donna Herring</t>
        </is>
      </c>
      <c r="G86" s="5" t="n">
        <v>5900</v>
      </c>
      <c r="H86" s="5" t="n">
        <v>5900</v>
      </c>
      <c r="I86" s="5" t="n">
        <v>5708.22</v>
      </c>
      <c r="J86" s="5" t="n">
        <v>4379.73</v>
      </c>
      <c r="K86" s="5" t="n">
        <v>3449.54</v>
      </c>
      <c r="L86" s="5" t="n">
        <v>930.1900000000001</v>
      </c>
      <c r="M86" s="5" t="n">
        <v>8489.9</v>
      </c>
      <c r="N86" s="5" t="n">
        <v>-4110.17</v>
      </c>
      <c r="O86" s="6" t="n">
        <v>1</v>
      </c>
      <c r="P86" s="6" t="n">
        <v>1.9385</v>
      </c>
    </row>
    <row r="87">
      <c r="A87" s="4" t="inlineStr">
        <is>
          <t>26-PC-40464</t>
        </is>
      </c>
      <c r="B87" s="4" t="inlineStr">
        <is>
          <t>Slate Ridge Trail - Paleontological Monitoring</t>
        </is>
      </c>
      <c r="C87" s="4" t="inlineStr">
        <is>
          <t>In Progress</t>
        </is>
      </c>
      <c r="D87" s="4" t="inlineStr">
        <is>
          <t>Fixed fee</t>
        </is>
      </c>
      <c r="E87" s="4" t="inlineStr">
        <is>
          <t>Sierra North</t>
        </is>
      </c>
      <c r="F87" s="4" t="inlineStr">
        <is>
          <t>Donna Herring</t>
        </is>
      </c>
      <c r="G87" s="5" t="n">
        <v>7500</v>
      </c>
      <c r="H87" s="5" t="n">
        <v>7500</v>
      </c>
      <c r="I87" s="5" t="n">
        <v>7376.17</v>
      </c>
      <c r="J87" s="5" t="n">
        <v>5493</v>
      </c>
      <c r="K87" s="5" t="n">
        <v>5493</v>
      </c>
      <c r="L87" s="5" t="n">
        <v>0</v>
      </c>
      <c r="M87" s="5" t="n">
        <v>8125.76</v>
      </c>
      <c r="N87" s="5" t="n">
        <v>-2632.76</v>
      </c>
      <c r="O87" s="6" t="n">
        <v>1</v>
      </c>
      <c r="P87" s="6" t="n">
        <v>1.4793</v>
      </c>
    </row>
    <row r="88">
      <c r="A88" s="4" t="inlineStr">
        <is>
          <t>26-PC-41202</t>
        </is>
      </c>
      <c r="B88" s="4" t="inlineStr">
        <is>
          <t>Quail Run Bridge Replacement Phase I Survey</t>
        </is>
      </c>
      <c r="C88" s="4" t="inlineStr">
        <is>
          <t>In Progress</t>
        </is>
      </c>
      <c r="D88" s="4" t="inlineStr">
        <is>
          <t>Fixed fee</t>
        </is>
      </c>
      <c r="E88" s="4" t="inlineStr">
        <is>
          <t>Coastal Bend</t>
        </is>
      </c>
      <c r="F88" s="4" t="inlineStr">
        <is>
          <t>Jared Choi</t>
        </is>
      </c>
      <c r="G88" s="5" t="n">
        <v>41400</v>
      </c>
      <c r="H88" s="5" t="n">
        <v>41400</v>
      </c>
      <c r="I88" s="5" t="n">
        <v>41400</v>
      </c>
      <c r="J88" s="5" t="n">
        <v>27278.33</v>
      </c>
      <c r="K88" s="5" t="n">
        <v>19877.52</v>
      </c>
      <c r="L88" s="5" t="n">
        <v>7400.81</v>
      </c>
      <c r="M88" s="5" t="n">
        <v>30232.83</v>
      </c>
      <c r="N88" s="5" t="n">
        <v>-2954.5</v>
      </c>
      <c r="O88" s="6" t="n">
        <v>1</v>
      </c>
      <c r="P88" s="6" t="n">
        <v>1.1083</v>
      </c>
    </row>
    <row r="89">
      <c r="A89" s="4" t="inlineStr">
        <is>
          <t>26-PC-41661</t>
        </is>
      </c>
      <c r="B89" s="4" t="inlineStr">
        <is>
          <t>Ember Valley Levee Repair Data Recovery</t>
        </is>
      </c>
      <c r="C89" s="4" t="inlineStr">
        <is>
          <t>In Progress</t>
        </is>
      </c>
      <c r="D89" s="4" t="inlineStr">
        <is>
          <t>Fixed fee</t>
        </is>
      </c>
      <c r="E89" s="4" t="inlineStr">
        <is>
          <t>Coastal Bend</t>
        </is>
      </c>
      <c r="F89" s="4" t="inlineStr">
        <is>
          <t>Diane Daniels</t>
        </is>
      </c>
      <c r="G89" s="5" t="n">
        <v>4800</v>
      </c>
      <c r="H89" s="5" t="n">
        <v>4800</v>
      </c>
      <c r="I89" s="5" t="n">
        <v>1827.9</v>
      </c>
      <c r="J89" s="5" t="n">
        <v>4028.16</v>
      </c>
      <c r="K89" s="5" t="n">
        <v>4028.16</v>
      </c>
      <c r="L89" s="5" t="n">
        <v>0</v>
      </c>
      <c r="M89" s="5" t="n">
        <v>4393.64</v>
      </c>
      <c r="N89" s="5" t="n">
        <v>-365.4800000000005</v>
      </c>
      <c r="O89" s="6" t="n">
        <v>1</v>
      </c>
      <c r="P89" s="6" t="n">
        <v>1.0907</v>
      </c>
    </row>
    <row r="90">
      <c r="A90" s="4" t="inlineStr">
        <is>
          <t>26-PC-43364</t>
        </is>
      </c>
      <c r="B90" s="4" t="inlineStr">
        <is>
          <t>Goldfinch Class III Survey</t>
        </is>
      </c>
      <c r="C90" s="4" t="inlineStr">
        <is>
          <t>Transferred Entity</t>
        </is>
      </c>
      <c r="D90" s="4" t="inlineStr">
        <is>
          <t>Fixed fee</t>
        </is>
      </c>
      <c r="E90" s="4" t="inlineStr">
        <is>
          <t>Meridian Central</t>
        </is>
      </c>
      <c r="F90" s="4" t="inlineStr">
        <is>
          <t>Raymond Hensley</t>
        </is>
      </c>
      <c r="G90" s="5" t="n">
        <v>24900</v>
      </c>
      <c r="H90" s="5" t="n">
        <v>24900</v>
      </c>
      <c r="I90" s="5" t="n">
        <v>23821.32</v>
      </c>
      <c r="J90" s="5" t="n">
        <v>16624.07</v>
      </c>
      <c r="K90" s="5" t="n">
        <v>15142.4</v>
      </c>
      <c r="L90" s="5" t="n">
        <v>1481.67</v>
      </c>
      <c r="M90" s="5" t="n">
        <v>22825.96</v>
      </c>
      <c r="N90" s="5" t="n">
        <v>-6201.889999999999</v>
      </c>
      <c r="O90" s="6" t="n">
        <v>1</v>
      </c>
      <c r="P90" s="6" t="n">
        <v>1.3731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3" customWidth="1" min="4" max="4"/>
    <col width="16" customWidth="1" min="5" max="5"/>
    <col width="16" customWidth="1" min="6" max="6"/>
    <col width="20" customWidth="1" min="7" max="7"/>
    <col width="16" customWidth="1" min="8" max="8"/>
  </cols>
  <sheetData>
    <row r="1">
      <c r="A1" s="3" t="inlineStr">
        <is>
          <t>PMO</t>
        </is>
      </c>
      <c r="B1" s="3" t="inlineStr">
        <is>
          <t>Project</t>
        </is>
      </c>
      <c r="C1" s="3" t="inlineStr">
        <is>
          <t>Amount</t>
        </is>
      </c>
      <c r="E1" s="3" t="inlineStr">
        <is>
          <t>PMO</t>
        </is>
      </c>
      <c r="F1" s="3" t="inlineStr">
        <is>
          <t>Overrun Amount</t>
        </is>
      </c>
      <c r="G1" s="3" t="inlineStr">
        <is>
          <t>Total Revised Budgets</t>
        </is>
      </c>
      <c r="H1" s="3" t="inlineStr">
        <is>
          <t>Weighted Overrun</t>
        </is>
      </c>
    </row>
    <row r="2">
      <c r="A2" s="4" t="inlineStr">
        <is>
          <t>Meridian Central</t>
        </is>
      </c>
      <c r="B2" s="4" t="inlineStr">
        <is>
          <t>Bramble Creek Mine Expansion Archaeological Testing</t>
        </is>
      </c>
      <c r="C2" s="5" t="n">
        <v>-89419.09999999999</v>
      </c>
      <c r="E2" s="4" t="inlineStr">
        <is>
          <t>Meridian Central</t>
        </is>
      </c>
      <c r="F2" s="5">
        <f>SUMIF($A:$A,E2,$C:$C)</f>
        <v/>
      </c>
      <c r="G2" s="5">
        <f>SUMIF('All Active Projects'!$E:$E,$E2,'All Active Projects'!$J:$J)</f>
        <v/>
      </c>
      <c r="H2" s="9">
        <f>IF(G2=0,0,F2/G2)</f>
        <v/>
      </c>
    </row>
    <row r="3">
      <c r="A3" s="4" t="inlineStr">
        <is>
          <t>Meridian Central</t>
        </is>
      </c>
      <c r="B3" s="4" t="inlineStr">
        <is>
          <t>Riverbend Highway Widening - Phase II Testing</t>
        </is>
      </c>
      <c r="C3" s="5" t="n">
        <v>-60264.71999999999</v>
      </c>
      <c r="E3" s="4" t="inlineStr">
        <is>
          <t>Cascade</t>
        </is>
      </c>
      <c r="F3" s="5">
        <f>SUMIF($A:$A,E3,$C:$C)</f>
        <v/>
      </c>
      <c r="G3" s="5">
        <f>SUMIF('All Active Projects'!$E:$E,$E3,'All Active Projects'!$J:$J)</f>
        <v/>
      </c>
      <c r="H3" s="9">
        <f>IF(G3=0,0,F3/G3)</f>
        <v/>
      </c>
    </row>
    <row r="4">
      <c r="A4" s="4" t="inlineStr">
        <is>
          <t>Meridian Central</t>
        </is>
      </c>
      <c r="B4" s="4" t="inlineStr">
        <is>
          <t>Copper Flats Solar - Phase II Testing</t>
        </is>
      </c>
      <c r="C4" s="5" t="n">
        <v>-57570.62</v>
      </c>
      <c r="E4" s="4" t="inlineStr">
        <is>
          <t>Red Rock</t>
        </is>
      </c>
      <c r="F4" s="5">
        <f>SUMIF($A:$A,E4,$C:$C)</f>
        <v/>
      </c>
      <c r="G4" s="5">
        <f>SUMIF('All Active Projects'!$E:$E,$E4,'All Active Projects'!$J:$J)</f>
        <v/>
      </c>
      <c r="H4" s="9">
        <f>IF(G4=0,0,F4/G4)</f>
        <v/>
      </c>
    </row>
    <row r="5">
      <c r="A5" s="4" t="inlineStr">
        <is>
          <t>NH Gulf (USD)</t>
        </is>
      </c>
      <c r="B5" s="4" t="inlineStr">
        <is>
          <t>Kestrel Butte Section 106 Consultation</t>
        </is>
      </c>
      <c r="C5" s="5" t="n">
        <v>-56113.35000000003</v>
      </c>
      <c r="E5" s="4" t="inlineStr">
        <is>
          <t>Chesapeake</t>
        </is>
      </c>
      <c r="F5" s="5">
        <f>SUMIF($A:$A,E5,$C:$C)</f>
        <v/>
      </c>
      <c r="G5" s="5">
        <f>SUMIF('All Active Projects'!$E:$E,$E5,'All Active Projects'!$J:$J)</f>
        <v/>
      </c>
      <c r="H5" s="9">
        <f>IF(G5=0,0,F5/G5)</f>
        <v/>
      </c>
    </row>
    <row r="6">
      <c r="A6" s="4" t="inlineStr">
        <is>
          <t>Cascade</t>
        </is>
      </c>
      <c r="B6" s="4" t="inlineStr">
        <is>
          <t>Riverbend GIS Mapping</t>
        </is>
      </c>
      <c r="C6" s="5" t="n">
        <v>-53407.77</v>
      </c>
      <c r="E6" s="4" t="inlineStr">
        <is>
          <t>NH Gulf (USD)</t>
        </is>
      </c>
      <c r="F6" s="5">
        <f>SUMIF($A:$A,E6,$C:$C)</f>
        <v/>
      </c>
      <c r="G6" s="5">
        <f>SUMIF('All Active Projects'!$E:$E,$E6,'All Active Projects'!$J:$J)</f>
        <v/>
      </c>
      <c r="H6" s="9">
        <f>IF(G6=0,0,F6/G6)</f>
        <v/>
      </c>
    </row>
    <row r="7">
      <c r="A7" s="4" t="inlineStr">
        <is>
          <t>NH Gulf (USD)</t>
        </is>
      </c>
      <c r="B7" s="4" t="inlineStr">
        <is>
          <t>Cedar Hollow Airport Apron - Paleontological Monitoring</t>
        </is>
      </c>
      <c r="C7" s="5" t="n">
        <v>-52117.26933333333</v>
      </c>
      <c r="E7" s="4" t="inlineStr">
        <is>
          <t>Coastal Bend</t>
        </is>
      </c>
      <c r="F7" s="5">
        <f>SUMIF($A:$A,E7,$C:$C)</f>
        <v/>
      </c>
      <c r="G7" s="5">
        <f>SUMIF('All Active Projects'!$E:$E,$E7,'All Active Projects'!$J:$J)</f>
        <v/>
      </c>
      <c r="H7" s="9">
        <f>IF(G7=0,0,F7/G7)</f>
        <v/>
      </c>
    </row>
    <row r="8">
      <c r="A8" s="4" t="inlineStr">
        <is>
          <t>Coastal Bend</t>
        </is>
      </c>
      <c r="B8" s="4" t="inlineStr">
        <is>
          <t>Tamarack Levee Repair - Historic Resources Evaluation</t>
        </is>
      </c>
      <c r="C8" s="5" t="n">
        <v>-51884.51000000001</v>
      </c>
      <c r="E8" s="4" t="inlineStr">
        <is>
          <t>Great Lakes</t>
        </is>
      </c>
      <c r="F8" s="5">
        <f>SUMIF($A:$A,E8,$C:$C)</f>
        <v/>
      </c>
      <c r="G8" s="5">
        <f>SUMIF('All Active Projects'!$E:$E,$E8,'All Active Projects'!$J:$J)</f>
        <v/>
      </c>
      <c r="H8" s="9">
        <f>IF(G8=0,0,F8/G8)</f>
        <v/>
      </c>
    </row>
    <row r="9">
      <c r="A9" s="4" t="inlineStr">
        <is>
          <t>Lakeshore</t>
        </is>
      </c>
      <c r="B9" s="4" t="inlineStr">
        <is>
          <t>Sparrow Hill Airport Apron Phase II Testing</t>
        </is>
      </c>
      <c r="C9" s="5" t="n">
        <v>-47180.87</v>
      </c>
      <c r="E9" s="4" t="inlineStr">
        <is>
          <t>Sierra</t>
        </is>
      </c>
      <c r="F9" s="5">
        <f>SUMIF($A:$A,E9,$C:$C)</f>
        <v/>
      </c>
      <c r="G9" s="5">
        <f>SUMIF('All Active Projects'!$E:$E,$E9,'All Active Projects'!$J:$J)</f>
        <v/>
      </c>
      <c r="H9" s="9">
        <f>IF(G9=0,0,F9/G9)</f>
        <v/>
      </c>
    </row>
    <row r="10">
      <c r="A10" s="4" t="inlineStr">
        <is>
          <t>Hill Country</t>
        </is>
      </c>
      <c r="B10" s="4" t="inlineStr">
        <is>
          <t>Yarrow Point Wastewater Plant - Phase I Survey</t>
        </is>
      </c>
      <c r="C10" s="5" t="n">
        <v>-40602.58</v>
      </c>
      <c r="E10" s="4" t="inlineStr">
        <is>
          <t>Hill Country</t>
        </is>
      </c>
      <c r="F10" s="5">
        <f>SUMIF($A:$A,E10,$C:$C)</f>
        <v/>
      </c>
      <c r="G10" s="5">
        <f>SUMIF('All Active Projects'!$E:$E,$E10,'All Active Projects'!$J:$J)</f>
        <v/>
      </c>
      <c r="H10" s="9">
        <f>IF(G10=0,0,F10/G10)</f>
        <v/>
      </c>
    </row>
    <row r="11">
      <c r="A11" s="4" t="inlineStr">
        <is>
          <t>Red Rock</t>
        </is>
      </c>
      <c r="B11" s="4" t="inlineStr">
        <is>
          <t>Phase II: Windmill Flat Wind Farm Built Environment Survey</t>
        </is>
      </c>
      <c r="C11" s="5" t="n">
        <v>-38645.34</v>
      </c>
      <c r="E11" s="4" t="inlineStr">
        <is>
          <t>Lakeshore</t>
        </is>
      </c>
      <c r="F11" s="5">
        <f>SUMIF($A:$A,E11,$C:$C)</f>
        <v/>
      </c>
      <c r="G11" s="5">
        <f>SUMIF('All Active Projects'!$E:$E,$E11,'All Active Projects'!$J:$J)</f>
        <v/>
      </c>
      <c r="H11" s="9">
        <f>IF(G11=0,0,F11/G11)</f>
        <v/>
      </c>
    </row>
    <row r="12">
      <c r="A12" s="4" t="inlineStr">
        <is>
          <t>Sierra</t>
        </is>
      </c>
      <c r="B12" s="4" t="inlineStr">
        <is>
          <t>Redbud Class III Survey</t>
        </is>
      </c>
      <c r="C12" s="5" t="n">
        <v>-37807.59999999998</v>
      </c>
      <c r="E12" s="4" t="inlineStr">
        <is>
          <t>Gulf Coast East</t>
        </is>
      </c>
      <c r="F12" s="5">
        <f>SUMIF($A:$A,E12,$C:$C)</f>
        <v/>
      </c>
      <c r="G12" s="5">
        <f>SUMIF('All Active Projects'!$E:$E,$E12,'All Active Projects'!$J:$J)</f>
        <v/>
      </c>
      <c r="H12" s="9">
        <f>IF(G12=0,0,F12/G12)</f>
        <v/>
      </c>
    </row>
    <row r="13">
      <c r="A13" s="4" t="inlineStr">
        <is>
          <t>Gulf Coast East</t>
        </is>
      </c>
      <c r="B13" s="4" t="inlineStr">
        <is>
          <t>Kestrel Butte Harbor Dredging - Historic Resources Evaluation</t>
        </is>
      </c>
      <c r="C13" s="5" t="n">
        <v>-36999.92</v>
      </c>
      <c r="E13" s="4" t="inlineStr">
        <is>
          <t>Piedmont</t>
        </is>
      </c>
      <c r="F13" s="5">
        <f>SUMIF($A:$A,E13,$C:$C)</f>
        <v/>
      </c>
      <c r="G13" s="5">
        <f>SUMIF('All Active Projects'!$E:$E,$E13,'All Active Projects'!$J:$J)</f>
        <v/>
      </c>
      <c r="H13" s="9">
        <f>IF(G13=0,0,F13/G13)</f>
        <v/>
      </c>
    </row>
    <row r="14">
      <c r="A14" s="4" t="inlineStr">
        <is>
          <t>Cascade</t>
        </is>
      </c>
      <c r="B14" s="4" t="inlineStr">
        <is>
          <t>Juniper Wash Canal Lining Environmental Review Support</t>
        </is>
      </c>
      <c r="C14" s="5" t="n">
        <v>-34678.42000000001</v>
      </c>
      <c r="E14" s="4" t="inlineStr">
        <is>
          <t>Front Range</t>
        </is>
      </c>
      <c r="F14" s="5">
        <f>SUMIF($A:$A,E14,$C:$C)</f>
        <v/>
      </c>
      <c r="G14" s="5">
        <f>SUMIF('All Active Projects'!$E:$E,$E14,'All Active Projects'!$J:$J)</f>
        <v/>
      </c>
      <c r="H14" s="9">
        <f>IF(G14=0,0,F14/G14)</f>
        <v/>
      </c>
    </row>
    <row r="15">
      <c r="A15" s="4" t="inlineStr">
        <is>
          <t>Big Sky</t>
        </is>
      </c>
      <c r="B15" s="4" t="inlineStr">
        <is>
          <t>Bramble Creek Mine Expansion Phase I Survey</t>
        </is>
      </c>
      <c r="C15" s="5" t="n">
        <v>-34164.90000000001</v>
      </c>
      <c r="E15" s="4" t="inlineStr">
        <is>
          <t>High Desert</t>
        </is>
      </c>
      <c r="F15" s="5">
        <f>SUMIF($A:$A,E15,$C:$C)</f>
        <v/>
      </c>
      <c r="G15" s="5">
        <f>SUMIF('All Active Projects'!$E:$E,$E15,'All Active Projects'!$J:$J)</f>
        <v/>
      </c>
      <c r="H15" s="9">
        <f>IF(G15=0,0,F15/G15)</f>
        <v/>
      </c>
    </row>
    <row r="16">
      <c r="A16" s="4" t="inlineStr">
        <is>
          <t>Chesapeake</t>
        </is>
      </c>
      <c r="B16" s="4" t="inlineStr">
        <is>
          <t>Oak Terrace Canal Lining - Phase I Survey</t>
        </is>
      </c>
      <c r="C16" s="5" t="n">
        <v>-32578.25</v>
      </c>
      <c r="E16" s="4" t="inlineStr">
        <is>
          <t>Big Sky</t>
        </is>
      </c>
      <c r="F16" s="5">
        <f>SUMIF($A:$A,E16,$C:$C)</f>
        <v/>
      </c>
      <c r="G16" s="5">
        <f>SUMIF('All Active Projects'!$E:$E,$E16,'All Active Projects'!$J:$J)</f>
        <v/>
      </c>
      <c r="H16" s="9">
        <f>IF(G16=0,0,F16/G16)</f>
        <v/>
      </c>
    </row>
    <row r="17">
      <c r="A17" s="4" t="inlineStr">
        <is>
          <t>Great Lakes</t>
        </is>
      </c>
      <c r="B17" s="4" t="inlineStr">
        <is>
          <t>Sumac Ridge Canal Lining Paleontological Monitoring</t>
        </is>
      </c>
      <c r="C17" s="5" t="n">
        <v>-31566.26</v>
      </c>
      <c r="E17" s="4" t="inlineStr">
        <is>
          <t>Meridian Southwest</t>
        </is>
      </c>
      <c r="F17" s="5">
        <f>SUMIF($A:$A,E17,$C:$C)</f>
        <v/>
      </c>
      <c r="G17" s="5">
        <f>SUMIF('All Active Projects'!$E:$E,$E17,'All Active Projects'!$J:$J)</f>
        <v/>
      </c>
      <c r="H17" s="9">
        <f>IF(G17=0,0,F17/G17)</f>
        <v/>
      </c>
    </row>
    <row r="18">
      <c r="A18" s="4" t="inlineStr">
        <is>
          <t>Red Rock</t>
        </is>
      </c>
      <c r="B18" s="4" t="inlineStr">
        <is>
          <t>Phase I: Dove Canyon Battery Storage Class III Survey</t>
        </is>
      </c>
      <c r="C18" s="5" t="n">
        <v>-30985.92</v>
      </c>
      <c r="E18" s="4" t="inlineStr">
        <is>
          <t>Island</t>
        </is>
      </c>
      <c r="F18" s="5">
        <f>SUMIF($A:$A,E18,$C:$C)</f>
        <v/>
      </c>
      <c r="G18" s="5">
        <f>SUMIF('All Active Projects'!$E:$E,$E18,'All Active Projects'!$J:$J)</f>
        <v/>
      </c>
      <c r="H18" s="9">
        <f>IF(G18=0,0,F18/G18)</f>
        <v/>
      </c>
    </row>
    <row r="19">
      <c r="A19" s="4" t="inlineStr">
        <is>
          <t>High Desert</t>
        </is>
      </c>
      <c r="B19" s="4" t="inlineStr">
        <is>
          <t>Wren Hollow Transmission Line - Phase I Survey</t>
        </is>
      </c>
      <c r="C19" s="5" t="n">
        <v>-28038.5</v>
      </c>
      <c r="E19" s="4" t="inlineStr">
        <is>
          <t>Bluegrass</t>
        </is>
      </c>
      <c r="F19" s="5">
        <f>SUMIF($A:$A,E19,$C:$C)</f>
        <v/>
      </c>
      <c r="G19" s="5">
        <f>SUMIF('All Active Projects'!$E:$E,$E19,'All Active Projects'!$J:$J)</f>
        <v/>
      </c>
      <c r="H19" s="9">
        <f>IF(G19=0,0,F19/G19)</f>
        <v/>
      </c>
    </row>
    <row r="20">
      <c r="A20" s="4" t="inlineStr">
        <is>
          <t>Great Lakes</t>
        </is>
      </c>
      <c r="B20" s="4" t="inlineStr">
        <is>
          <t>North Fork Rail Siding Paleontological Monitoring</t>
        </is>
      </c>
      <c r="C20" s="5" t="n">
        <v>-27863.32999999999</v>
      </c>
      <c r="E20" s="4" t="inlineStr">
        <is>
          <t>Sierra North</t>
        </is>
      </c>
      <c r="F20" s="5">
        <f>SUMIF($A:$A,E20,$C:$C)</f>
        <v/>
      </c>
      <c r="G20" s="5">
        <f>SUMIF('All Active Projects'!$E:$E,$E20,'All Active Projects'!$J:$J)</f>
        <v/>
      </c>
      <c r="H20" s="9">
        <f>IF(G20=0,0,F20/G20)</f>
        <v/>
      </c>
    </row>
    <row r="21">
      <c r="A21" s="4" t="inlineStr">
        <is>
          <t>Meridian Central</t>
        </is>
      </c>
      <c r="B21" s="4" t="inlineStr">
        <is>
          <t>Riverbend Airport Apron - Class III Survey</t>
        </is>
      </c>
      <c r="C21" s="5" t="n">
        <v>-27201.91999999998</v>
      </c>
      <c r="E21" s="4" t="inlineStr">
        <is>
          <t>Gulf Coast West</t>
        </is>
      </c>
      <c r="F21" s="5">
        <f>SUMIF($A:$A,E21,$C:$C)</f>
        <v/>
      </c>
      <c r="G21" s="5">
        <f>SUMIF('All Active Projects'!$E:$E,$E21,'All Active Projects'!$J:$J)</f>
        <v/>
      </c>
      <c r="H21" s="9">
        <f>IF(G21=0,0,F21/G21)</f>
        <v/>
      </c>
    </row>
    <row r="22">
      <c r="A22" s="4" t="inlineStr">
        <is>
          <t>Sierra</t>
        </is>
      </c>
      <c r="B22" s="4" t="inlineStr">
        <is>
          <t>On-Call: Oak Terrace Reservoir Section 106 Consultation</t>
        </is>
      </c>
      <c r="C22" s="5" t="n">
        <v>-26820.3</v>
      </c>
      <c r="E22" s="4" t="inlineStr">
        <is>
          <t>Geospatial</t>
        </is>
      </c>
      <c r="F22" s="5">
        <f>SUMIF($A:$A,E22,$C:$C)</f>
        <v/>
      </c>
      <c r="G22" s="5">
        <f>SUMIF('All Active Projects'!$E:$E,$E22,'All Active Projects'!$J:$J)</f>
        <v/>
      </c>
      <c r="H22" s="9">
        <f>IF(G22=0,0,F22/G22)</f>
        <v/>
      </c>
    </row>
    <row r="23">
      <c r="A23" s="4" t="inlineStr">
        <is>
          <t>Meridian Southwest</t>
        </is>
      </c>
      <c r="B23" s="4" t="inlineStr">
        <is>
          <t>Ember Valley Housing Development Paleontological Monitoring</t>
        </is>
      </c>
      <c r="C23" s="5" t="n">
        <v>-25033.19</v>
      </c>
      <c r="E23" s="4" t="inlineStr">
        <is>
          <t>Gulf Coast</t>
        </is>
      </c>
      <c r="F23" s="5">
        <f>SUMIF($A:$A,E23,$C:$C)</f>
        <v/>
      </c>
      <c r="G23" s="5">
        <f>SUMIF('All Active Projects'!$E:$E,$E23,'All Active Projects'!$J:$J)</f>
        <v/>
      </c>
      <c r="H23" s="9">
        <f>IF(G23=0,0,F23/G23)</f>
        <v/>
      </c>
    </row>
    <row r="24">
      <c r="A24" s="4" t="inlineStr">
        <is>
          <t>Hill Country</t>
        </is>
      </c>
      <c r="B24" s="4" t="inlineStr">
        <is>
          <t>Slate Ridge Water Main Archaeological Testing</t>
        </is>
      </c>
      <c r="C24" s="5" t="n">
        <v>-24153.75999999999</v>
      </c>
      <c r="E24" s="4" t="inlineStr">
        <is>
          <t>Built Environment</t>
        </is>
      </c>
      <c r="F24" s="5">
        <f>SUMIF($A:$A,E24,$C:$C)</f>
        <v/>
      </c>
      <c r="G24" s="5">
        <f>SUMIF('All Active Projects'!$E:$E,$E24,'All Active Projects'!$J:$J)</f>
        <v/>
      </c>
      <c r="H24" s="9">
        <f>IF(G24=0,0,F24/G24)</f>
        <v/>
      </c>
    </row>
    <row r="25">
      <c r="A25" s="4" t="inlineStr">
        <is>
          <t>Front Range</t>
        </is>
      </c>
      <c r="B25" s="4" t="inlineStr">
        <is>
          <t>Lone Pine Mixed-Use Development Phase I Survey</t>
        </is>
      </c>
      <c r="C25" s="5" t="n">
        <v>-23424.55</v>
      </c>
      <c r="E25" s="4" t="inlineStr">
        <is>
          <t>Sierra South</t>
        </is>
      </c>
      <c r="F25" s="5">
        <f>SUMIF($A:$A,E25,$C:$C)</f>
        <v/>
      </c>
      <c r="G25" s="5">
        <f>SUMIF('All Active Projects'!$E:$E,$E25,'All Active Projects'!$J:$J)</f>
        <v/>
      </c>
      <c r="H25" s="9">
        <f>IF(G25=0,0,F25/G25)</f>
        <v/>
      </c>
    </row>
    <row r="26">
      <c r="A26" s="4" t="inlineStr">
        <is>
          <t>Chesapeake</t>
        </is>
      </c>
      <c r="B26" s="4" t="inlineStr">
        <is>
          <t>Task Order 14: Hawk Point Harbor Dredging Maritime Remote Sensing Survey</t>
        </is>
      </c>
      <c r="C26" s="5" t="n">
        <v>-22799.37</v>
      </c>
      <c r="E26" s="4" t="inlineStr">
        <is>
          <t>Paleontology</t>
        </is>
      </c>
      <c r="F26" s="5">
        <f>SUMIF($A:$A,E26,$C:$C)</f>
        <v/>
      </c>
      <c r="G26" s="5">
        <f>SUMIF('All Active Projects'!$E:$E,$E26,'All Active Projects'!$J:$J)</f>
        <v/>
      </c>
      <c r="H26" s="9">
        <f>IF(G26=0,0,F26/G26)</f>
        <v/>
      </c>
    </row>
    <row r="27">
      <c r="A27" s="4" t="inlineStr">
        <is>
          <t>Gulf Coast East</t>
        </is>
      </c>
      <c r="B27" s="4" t="inlineStr">
        <is>
          <t>Goldfinch Bridge Replacement Paleontological Monitoring</t>
        </is>
      </c>
      <c r="C27" s="5" t="n">
        <v>-22368.12</v>
      </c>
    </row>
    <row r="28">
      <c r="A28" s="4" t="inlineStr">
        <is>
          <t>Chesapeake</t>
        </is>
      </c>
      <c r="B28" s="4" t="inlineStr">
        <is>
          <t>Sea Oat Airport Apron Phase II Testing</t>
        </is>
      </c>
      <c r="C28" s="5" t="n">
        <v>-21627.62999999999</v>
      </c>
    </row>
    <row r="29">
      <c r="A29" s="4" t="inlineStr">
        <is>
          <t>Chesapeake</t>
        </is>
      </c>
      <c r="B29" s="4" t="inlineStr">
        <is>
          <t>Timber Gap Highway Widening Paleontological Monitoring</t>
        </is>
      </c>
      <c r="C29" s="5" t="n">
        <v>-21580.94</v>
      </c>
    </row>
    <row r="30">
      <c r="A30" s="4" t="inlineStr">
        <is>
          <t>Coastal Bend</t>
        </is>
      </c>
      <c r="B30" s="4" t="inlineStr">
        <is>
          <t>Pine Hollow Battery Storage - Archaeological Testing</t>
        </is>
      </c>
      <c r="C30" s="5" t="n">
        <v>-21274.98999999999</v>
      </c>
    </row>
    <row r="31">
      <c r="A31" s="4" t="inlineStr">
        <is>
          <t>Cascade</t>
        </is>
      </c>
      <c r="B31" s="4" t="inlineStr">
        <is>
          <t>Task Order 37: Sea Oat Water Main Archaeological Testing</t>
        </is>
      </c>
      <c r="C31" s="5" t="n">
        <v>-19278.16</v>
      </c>
    </row>
    <row r="32">
      <c r="A32" s="4" t="inlineStr">
        <is>
          <t>Great Lakes</t>
        </is>
      </c>
      <c r="B32" s="4" t="inlineStr">
        <is>
          <t>Kestrel Butte Data Recovery</t>
        </is>
      </c>
      <c r="C32" s="5" t="n">
        <v>-19277.49</v>
      </c>
    </row>
    <row r="33">
      <c r="A33" s="4" t="inlineStr">
        <is>
          <t>Red Rock</t>
        </is>
      </c>
      <c r="B33" s="4" t="inlineStr">
        <is>
          <t>On-Call: Sparrow Hill Solar Section 106 Consultation</t>
        </is>
      </c>
      <c r="C33" s="5" t="n">
        <v>-19133.15</v>
      </c>
    </row>
    <row r="34">
      <c r="A34" s="4" t="inlineStr">
        <is>
          <t>Island</t>
        </is>
      </c>
      <c r="B34" s="4" t="inlineStr">
        <is>
          <t>Kestrel Butte Environmental Review Support</t>
        </is>
      </c>
      <c r="C34" s="5" t="n">
        <v>-18888.91</v>
      </c>
    </row>
    <row r="35">
      <c r="A35" s="4" t="inlineStr">
        <is>
          <t>Lakeshore</t>
        </is>
      </c>
      <c r="B35" s="4" t="inlineStr">
        <is>
          <t>Falcon Mesa Archaeological Testing</t>
        </is>
      </c>
      <c r="C35" s="5" t="n">
        <v>-18620.39</v>
      </c>
    </row>
    <row r="36">
      <c r="A36" s="4" t="inlineStr">
        <is>
          <t>Piedmont</t>
        </is>
      </c>
      <c r="B36" s="4" t="inlineStr">
        <is>
          <t>On-Call: Dove Canyon Fiber Route Cultural Resources Monitoring</t>
        </is>
      </c>
      <c r="C36" s="5" t="n">
        <v>-18056.06</v>
      </c>
    </row>
    <row r="37">
      <c r="A37" s="4" t="inlineStr">
        <is>
          <t>Great Lakes</t>
        </is>
      </c>
      <c r="B37" s="4" t="inlineStr">
        <is>
          <t>Slate Ridge Data Recovery</t>
        </is>
      </c>
      <c r="C37" s="5" t="n">
        <v>-17776.98</v>
      </c>
    </row>
    <row r="38">
      <c r="A38" s="4" t="inlineStr">
        <is>
          <t>Piedmont</t>
        </is>
      </c>
      <c r="B38" s="4" t="inlineStr">
        <is>
          <t>Badger Hollow Paleontological Monitoring</t>
        </is>
      </c>
      <c r="C38" s="5" t="n">
        <v>-17514.99</v>
      </c>
    </row>
    <row r="39">
      <c r="A39" s="4" t="inlineStr">
        <is>
          <t>Red Rock</t>
        </is>
      </c>
      <c r="B39" s="4" t="inlineStr">
        <is>
          <t>Juniper Wash Built Environment Survey</t>
        </is>
      </c>
      <c r="C39" s="5" t="n">
        <v>-16973.63</v>
      </c>
    </row>
    <row r="40">
      <c r="A40" s="4" t="inlineStr">
        <is>
          <t>Cascade</t>
        </is>
      </c>
      <c r="B40" s="4" t="inlineStr">
        <is>
          <t>Quail Run Archaeological Testing</t>
        </is>
      </c>
      <c r="C40" s="5" t="n">
        <v>-15946.53</v>
      </c>
    </row>
    <row r="41">
      <c r="A41" s="4" t="inlineStr">
        <is>
          <t>Red Rock</t>
        </is>
      </c>
      <c r="B41" s="4" t="inlineStr">
        <is>
          <t>Pebble Beach Road Wind Farm Historic Resources Evaluation</t>
        </is>
      </c>
      <c r="C41" s="5" t="n">
        <v>-15813.89000000001</v>
      </c>
    </row>
    <row r="42">
      <c r="A42" s="4" t="inlineStr">
        <is>
          <t>Sierra North</t>
        </is>
      </c>
      <c r="B42" s="4" t="inlineStr">
        <is>
          <t>Sumac Ridge Cultural Resources Monitoring</t>
        </is>
      </c>
      <c r="C42" s="5" t="n">
        <v>-15683.42</v>
      </c>
    </row>
    <row r="43">
      <c r="A43" s="4" t="inlineStr">
        <is>
          <t>Chesapeake</t>
        </is>
      </c>
      <c r="B43" s="4" t="inlineStr">
        <is>
          <t>Sandpiper Canal Lining - Phase I Survey</t>
        </is>
      </c>
      <c r="C43" s="5" t="n">
        <v>-15312.75</v>
      </c>
    </row>
    <row r="44">
      <c r="A44" s="4" t="inlineStr">
        <is>
          <t>Chesapeake</t>
        </is>
      </c>
      <c r="B44" s="4" t="inlineStr">
        <is>
          <t>On-Call: Granite Pass Substation Cultural Resources Monitoring</t>
        </is>
      </c>
      <c r="C44" s="5" t="n">
        <v>-15162.87</v>
      </c>
    </row>
    <row r="45">
      <c r="A45" s="4" t="inlineStr">
        <is>
          <t>Chesapeake</t>
        </is>
      </c>
      <c r="B45" s="4" t="inlineStr">
        <is>
          <t>Pebble Beach Road Archaeological Testing</t>
        </is>
      </c>
      <c r="C45" s="5" t="n">
        <v>-14930.99</v>
      </c>
    </row>
    <row r="46">
      <c r="A46" s="4" t="inlineStr">
        <is>
          <t>Red Rock</t>
        </is>
      </c>
      <c r="B46" s="4" t="inlineStr">
        <is>
          <t>Kestrel Butte Phase I Survey</t>
        </is>
      </c>
      <c r="C46" s="5" t="n">
        <v>-14822.43000000001</v>
      </c>
    </row>
    <row r="47">
      <c r="A47" s="4" t="inlineStr">
        <is>
          <t>Cascade</t>
        </is>
      </c>
      <c r="B47" s="4" t="inlineStr">
        <is>
          <t>On-Call: Badger Hollow Pipeline Archaeological Testing</t>
        </is>
      </c>
      <c r="C47" s="5" t="n">
        <v>-14326.57999999999</v>
      </c>
    </row>
    <row r="48">
      <c r="A48" s="4" t="inlineStr">
        <is>
          <t>Bluegrass</t>
        </is>
      </c>
      <c r="B48" s="4" t="inlineStr">
        <is>
          <t>Sea Oat Cultural Resources Assessment</t>
        </is>
      </c>
      <c r="C48" s="5" t="n">
        <v>-13351.07000000001</v>
      </c>
    </row>
    <row r="49">
      <c r="A49" s="4" t="inlineStr">
        <is>
          <t>NH Gulf (USD)</t>
        </is>
      </c>
      <c r="B49" s="4" t="inlineStr">
        <is>
          <t>Task Order 2: Redbud Highway Widening GIS Mapping</t>
        </is>
      </c>
      <c r="C49" s="5" t="n">
        <v>-13341.97733333334</v>
      </c>
    </row>
    <row r="50">
      <c r="A50" s="4" t="inlineStr">
        <is>
          <t>Red Rock</t>
        </is>
      </c>
      <c r="B50" s="4" t="inlineStr">
        <is>
          <t>Kestrel Butte Mine Expansion Cultural Resources Assessment</t>
        </is>
      </c>
      <c r="C50" s="5" t="n">
        <v>-13164.03</v>
      </c>
    </row>
    <row r="51">
      <c r="A51" s="4" t="inlineStr">
        <is>
          <t>Cascade</t>
        </is>
      </c>
      <c r="B51" s="4" t="inlineStr">
        <is>
          <t>Sandpiper Park Improvements Phase I Survey</t>
        </is>
      </c>
      <c r="C51" s="5" t="n">
        <v>-12718.69</v>
      </c>
    </row>
    <row r="52">
      <c r="A52" s="4" t="inlineStr">
        <is>
          <t>Cascade</t>
        </is>
      </c>
      <c r="B52" s="4" t="inlineStr">
        <is>
          <t>On-Call: Foxglove Fiber Route GIS Mapping</t>
        </is>
      </c>
      <c r="C52" s="5" t="n">
        <v>-12518.97</v>
      </c>
    </row>
    <row r="53">
      <c r="A53" s="4" t="inlineStr">
        <is>
          <t>Piedmont</t>
        </is>
      </c>
      <c r="B53" s="4" t="inlineStr">
        <is>
          <t>Fern Valley Wastewater Plant Paleontological Monitoring</t>
        </is>
      </c>
      <c r="C53" s="5" t="n">
        <v>-12496.56</v>
      </c>
    </row>
    <row r="54">
      <c r="A54" s="4" t="inlineStr">
        <is>
          <t>Sierra</t>
        </is>
      </c>
      <c r="B54" s="4" t="inlineStr">
        <is>
          <t>Copper Flats Phase I Survey</t>
        </is>
      </c>
      <c r="C54" s="5" t="n">
        <v>-12244.63</v>
      </c>
    </row>
    <row r="55">
      <c r="A55" s="4" t="inlineStr">
        <is>
          <t>Red Rock</t>
        </is>
      </c>
      <c r="B55" s="4" t="inlineStr">
        <is>
          <t>Phase I: Windmill Flat Battery Storage Archaeological Testing</t>
        </is>
      </c>
      <c r="C55" s="5" t="n">
        <v>-12150.88</v>
      </c>
    </row>
    <row r="56">
      <c r="A56" s="4" t="inlineStr">
        <is>
          <t>Coastal Bend</t>
        </is>
      </c>
      <c r="B56" s="4" t="inlineStr">
        <is>
          <t>Task Order 24: Elk Meadow Mixed-Use Development Historic Resources Evaluation</t>
        </is>
      </c>
      <c r="C56" s="5" t="n">
        <v>-11391.40000000001</v>
      </c>
    </row>
    <row r="57">
      <c r="A57" s="4" t="inlineStr">
        <is>
          <t>Geospatial</t>
        </is>
      </c>
      <c r="B57" s="4" t="inlineStr">
        <is>
          <t>On-Call: Foxglove Reservoir Phase I Survey</t>
        </is>
      </c>
      <c r="C57" s="5" t="n">
        <v>-11271.32000000001</v>
      </c>
    </row>
    <row r="58">
      <c r="A58" s="4" t="inlineStr">
        <is>
          <t>Cascade</t>
        </is>
      </c>
      <c r="B58" s="4" t="inlineStr">
        <is>
          <t>North Fork Wind Farm Curation</t>
        </is>
      </c>
      <c r="C58" s="5" t="n">
        <v>-10947.87</v>
      </c>
    </row>
    <row r="59">
      <c r="A59" s="4" t="inlineStr">
        <is>
          <t>Chesapeake</t>
        </is>
      </c>
      <c r="B59" s="4" t="inlineStr">
        <is>
          <t>Hackberry Bend Canal Lining Data Recovery</t>
        </is>
      </c>
      <c r="C59" s="5" t="n">
        <v>-10926.13</v>
      </c>
    </row>
    <row r="60">
      <c r="A60" s="4" t="inlineStr">
        <is>
          <t>Gulf Coast West</t>
        </is>
      </c>
      <c r="B60" s="4" t="inlineStr">
        <is>
          <t>Sandpiper Historic Resources Evaluation</t>
        </is>
      </c>
      <c r="C60" s="5" t="n">
        <v>-10922.15</v>
      </c>
    </row>
    <row r="61">
      <c r="A61" s="4" t="inlineStr">
        <is>
          <t>Coastal Bend</t>
        </is>
      </c>
      <c r="B61" s="4" t="inlineStr">
        <is>
          <t>Rushgrass Draw Cultural Resources Assessment</t>
        </is>
      </c>
      <c r="C61" s="5" t="n">
        <v>-10410.22</v>
      </c>
    </row>
    <row r="62">
      <c r="A62" s="4" t="inlineStr">
        <is>
          <t>Coastal Bend</t>
        </is>
      </c>
      <c r="B62" s="4" t="inlineStr">
        <is>
          <t>Saltgrass Battery Storage - Historic Resources Evaluation</t>
        </is>
      </c>
      <c r="C62" s="5" t="n">
        <v>-10225.06</v>
      </c>
    </row>
    <row r="63">
      <c r="A63" s="4" t="inlineStr">
        <is>
          <t>Hill Country</t>
        </is>
      </c>
      <c r="B63" s="4" t="inlineStr">
        <is>
          <t>Sandpiper Park Improvements - Archaeological Testing</t>
        </is>
      </c>
      <c r="C63" s="5" t="n">
        <v>-10184.79</v>
      </c>
    </row>
    <row r="64">
      <c r="A64" s="4" t="inlineStr">
        <is>
          <t>Lakeshore</t>
        </is>
      </c>
      <c r="B64" s="4" t="inlineStr">
        <is>
          <t>Copper Flats Mine Expansion Built Environment Survey</t>
        </is>
      </c>
      <c r="C64" s="5" t="n">
        <v>-9720.760000000002</v>
      </c>
    </row>
    <row r="65">
      <c r="A65" s="4" t="inlineStr">
        <is>
          <t>Meridian Southwest</t>
        </is>
      </c>
      <c r="B65" s="4" t="inlineStr">
        <is>
          <t>Windmill Flat Battery Storage Curation</t>
        </is>
      </c>
      <c r="C65" s="5" t="n">
        <v>-9416.599999999991</v>
      </c>
    </row>
    <row r="66">
      <c r="A66" s="4" t="inlineStr">
        <is>
          <t>Great Lakes</t>
        </is>
      </c>
      <c r="B66" s="4" t="inlineStr">
        <is>
          <t>North Fork Curation</t>
        </is>
      </c>
      <c r="C66" s="5" t="n">
        <v>-9159</v>
      </c>
    </row>
    <row r="67">
      <c r="A67" s="4" t="inlineStr">
        <is>
          <t>Great Lakes</t>
        </is>
      </c>
      <c r="B67" s="4" t="inlineStr">
        <is>
          <t>Kestrel Butte Archaeological Testing</t>
        </is>
      </c>
      <c r="C67" s="5" t="n">
        <v>-8984.579999999994</v>
      </c>
    </row>
    <row r="68">
      <c r="A68" s="4" t="inlineStr">
        <is>
          <t>Piedmont</t>
        </is>
      </c>
      <c r="B68" s="4" t="inlineStr">
        <is>
          <t>Sage Flat Phase I Survey</t>
        </is>
      </c>
      <c r="C68" s="5" t="n">
        <v>-8563.549999999999</v>
      </c>
    </row>
    <row r="69">
      <c r="A69" s="4" t="inlineStr">
        <is>
          <t>Island</t>
        </is>
      </c>
      <c r="B69" s="4" t="inlineStr">
        <is>
          <t>Task Order 2: Larkspur Substation Historic Resources Evaluation</t>
        </is>
      </c>
      <c r="C69" s="5" t="n">
        <v>-8406.790000000001</v>
      </c>
    </row>
    <row r="70">
      <c r="A70" s="4" t="inlineStr">
        <is>
          <t>Front Range</t>
        </is>
      </c>
      <c r="B70" s="4" t="inlineStr">
        <is>
          <t>Yarrow Point Architectural History Survey</t>
        </is>
      </c>
      <c r="C70" s="5" t="n">
        <v>-8339.840000000004</v>
      </c>
    </row>
    <row r="71">
      <c r="A71" s="4" t="inlineStr">
        <is>
          <t>Coastal Bend</t>
        </is>
      </c>
      <c r="B71" s="4" t="inlineStr">
        <is>
          <t>Phase III: Ember Valley Park Improvements Data Recovery</t>
        </is>
      </c>
      <c r="C71" s="5" t="n">
        <v>-8117.309999999998</v>
      </c>
    </row>
    <row r="72">
      <c r="A72" s="4" t="inlineStr">
        <is>
          <t>Gulf Coast East</t>
        </is>
      </c>
      <c r="B72" s="4" t="inlineStr">
        <is>
          <t>Hackberry Bend Rail Siding Class III Survey</t>
        </is>
      </c>
      <c r="C72" s="5" t="n">
        <v>-8067.349999999999</v>
      </c>
    </row>
    <row r="73">
      <c r="A73" s="4" t="inlineStr">
        <is>
          <t>NH Gulf (USD)</t>
        </is>
      </c>
      <c r="B73" s="4" t="inlineStr">
        <is>
          <t>Task Order 19: Millbrook Bridge Replacement Class III Survey</t>
        </is>
      </c>
      <c r="C73" s="5" t="n">
        <v>-8038.169999999998</v>
      </c>
    </row>
    <row r="74">
      <c r="A74" s="4" t="inlineStr">
        <is>
          <t>Front Range</t>
        </is>
      </c>
      <c r="B74" s="4" t="inlineStr">
        <is>
          <t>Twin Buttes Wind Farm - Cultural Resources Monitoring</t>
        </is>
      </c>
      <c r="C74" s="5" t="n">
        <v>-7735.98</v>
      </c>
    </row>
    <row r="75">
      <c r="A75" s="4" t="inlineStr">
        <is>
          <t>Cascade</t>
        </is>
      </c>
      <c r="B75" s="4" t="inlineStr">
        <is>
          <t>Phase III: Timber Gap Mixed-Use Development GIS Mapping</t>
        </is>
      </c>
      <c r="C75" s="5" t="n">
        <v>-7629.820000000007</v>
      </c>
    </row>
    <row r="76">
      <c r="A76" s="4" t="inlineStr">
        <is>
          <t>Gulf Coast</t>
        </is>
      </c>
      <c r="B76" s="4" t="inlineStr">
        <is>
          <t>Millbrook Fiber Route - Historic Resources Evaluation</t>
        </is>
      </c>
      <c r="C76" s="5" t="n">
        <v>-7174.629999999997</v>
      </c>
    </row>
    <row r="77">
      <c r="A77" s="4" t="inlineStr">
        <is>
          <t>Sierra North</t>
        </is>
      </c>
      <c r="B77" s="4" t="inlineStr">
        <is>
          <t>Stone Mill Airport Apron - Class III Survey</t>
        </is>
      </c>
      <c r="C77" s="5" t="n">
        <v>-6726.719999999987</v>
      </c>
    </row>
    <row r="78">
      <c r="A78" s="4" t="inlineStr">
        <is>
          <t>Front Range</t>
        </is>
      </c>
      <c r="B78" s="4" t="inlineStr">
        <is>
          <t>Redbud Data Recovery</t>
        </is>
      </c>
      <c r="C78" s="5" t="n">
        <v>-6682.200000000001</v>
      </c>
    </row>
    <row r="79">
      <c r="A79" s="4" t="inlineStr">
        <is>
          <t>Hill Country</t>
        </is>
      </c>
      <c r="B79" s="4" t="inlineStr">
        <is>
          <t>Meadowlark Substation Phase I Survey</t>
        </is>
      </c>
      <c r="C79" s="5" t="n">
        <v>-6659.429999999997</v>
      </c>
    </row>
    <row r="80">
      <c r="A80" s="4" t="inlineStr">
        <is>
          <t>High Desert</t>
        </is>
      </c>
      <c r="B80" s="4" t="inlineStr">
        <is>
          <t>Sea Oat Bridge Replacement Phase II Testing</t>
        </is>
      </c>
      <c r="C80" s="5" t="n">
        <v>-6446.129999999997</v>
      </c>
    </row>
    <row r="81">
      <c r="A81" s="4" t="inlineStr">
        <is>
          <t>Red Rock</t>
        </is>
      </c>
      <c r="B81" s="4" t="inlineStr">
        <is>
          <t>Juniper Wash Pipeline - Archaeological Testing</t>
        </is>
      </c>
      <c r="C81" s="5" t="n">
        <v>-6405.949999999997</v>
      </c>
    </row>
    <row r="82">
      <c r="A82" s="4" t="inlineStr">
        <is>
          <t>Meridian Central</t>
        </is>
      </c>
      <c r="B82" s="4" t="inlineStr">
        <is>
          <t>Goldfinch Class III Survey</t>
        </is>
      </c>
      <c r="C82" s="5" t="n">
        <v>-6201.889999999999</v>
      </c>
    </row>
    <row r="83">
      <c r="A83" s="4" t="inlineStr">
        <is>
          <t>Gulf Coast West</t>
        </is>
      </c>
      <c r="B83" s="4" t="inlineStr">
        <is>
          <t>Thistle Down Cell Tower - Historic Resources Evaluation</t>
        </is>
      </c>
      <c r="C83" s="5" t="n">
        <v>-6142.840000000004</v>
      </c>
    </row>
    <row r="84">
      <c r="A84" s="4" t="inlineStr">
        <is>
          <t>Great Lakes</t>
        </is>
      </c>
      <c r="B84" s="4" t="inlineStr">
        <is>
          <t>Meadowlark Mixed-Use Development - Historic Resources Evaluation</t>
        </is>
      </c>
      <c r="C84" s="5" t="n">
        <v>-5910.889999999999</v>
      </c>
    </row>
    <row r="85">
      <c r="A85" s="4" t="inlineStr">
        <is>
          <t>Coastal Bend</t>
        </is>
      </c>
      <c r="B85" s="4" t="inlineStr">
        <is>
          <t>Creosote Draw Park Improvements Class III Survey</t>
        </is>
      </c>
      <c r="C85" s="5" t="n">
        <v>-5234.080000000002</v>
      </c>
    </row>
    <row r="86">
      <c r="A86" s="4" t="inlineStr">
        <is>
          <t>Bluegrass</t>
        </is>
      </c>
      <c r="B86" s="4" t="inlineStr">
        <is>
          <t>Kestrel Butte Maritime Remote Sensing Survey</t>
        </is>
      </c>
      <c r="C86" s="5" t="n">
        <v>-5019.619999999995</v>
      </c>
    </row>
    <row r="87">
      <c r="A87" s="4" t="inlineStr">
        <is>
          <t>Cascade</t>
        </is>
      </c>
      <c r="B87" s="4" t="inlineStr">
        <is>
          <t>Phase I: Kestrel Butte Substation Data Recovery</t>
        </is>
      </c>
      <c r="C87" s="5" t="n">
        <v>-4860</v>
      </c>
    </row>
    <row r="88">
      <c r="A88" s="4" t="inlineStr">
        <is>
          <t>High Desert</t>
        </is>
      </c>
      <c r="B88" s="4" t="inlineStr">
        <is>
          <t>On-Call: Willow Springs Reservoir Archaeological Testing</t>
        </is>
      </c>
      <c r="C88" s="5" t="n">
        <v>-4849.279999999999</v>
      </c>
    </row>
    <row r="89">
      <c r="A89" s="4" t="inlineStr">
        <is>
          <t>Geospatial</t>
        </is>
      </c>
      <c r="B89" s="4" t="inlineStr">
        <is>
          <t>Thistle Down Solar - Maritime Remote Sensing Survey</t>
        </is>
      </c>
      <c r="C89" s="5" t="n">
        <v>-4749.07</v>
      </c>
    </row>
    <row r="90">
      <c r="A90" s="4" t="inlineStr">
        <is>
          <t>Bluegrass</t>
        </is>
      </c>
      <c r="B90" s="4" t="inlineStr">
        <is>
          <t>Saltgrass Cell Tower Built Environment Survey</t>
        </is>
      </c>
      <c r="C90" s="5" t="n">
        <v>-4719.5</v>
      </c>
    </row>
    <row r="91">
      <c r="A91" s="4" t="inlineStr">
        <is>
          <t>Gulf Coast</t>
        </is>
      </c>
      <c r="B91" s="4" t="inlineStr">
        <is>
          <t>Rushgrass Draw Battery Storage Architectural History Survey</t>
        </is>
      </c>
      <c r="C91" s="5" t="n">
        <v>-4603.130000000001</v>
      </c>
    </row>
    <row r="92">
      <c r="A92" s="4" t="inlineStr">
        <is>
          <t>Sierra</t>
        </is>
      </c>
      <c r="B92" s="4" t="inlineStr">
        <is>
          <t>Phase I: Tamarack Airport Apron Section 106 Consultation</t>
        </is>
      </c>
      <c r="C92" s="5" t="n">
        <v>-4489.619999999995</v>
      </c>
    </row>
    <row r="93">
      <c r="A93" s="4" t="inlineStr">
        <is>
          <t>Sierra</t>
        </is>
      </c>
      <c r="B93" s="4" t="inlineStr">
        <is>
          <t>Tansy Flat Housing Development - Archaeological Testing</t>
        </is>
      </c>
      <c r="C93" s="5" t="n">
        <v>-4301.26</v>
      </c>
    </row>
    <row r="94">
      <c r="A94" s="4" t="inlineStr">
        <is>
          <t>Cascade</t>
        </is>
      </c>
      <c r="B94" s="4" t="inlineStr">
        <is>
          <t>Task Order 27: Hawk Point Pipeline Data Recovery</t>
        </is>
      </c>
      <c r="C94" s="5" t="n">
        <v>-4274.41</v>
      </c>
    </row>
    <row r="95">
      <c r="A95" s="4" t="inlineStr">
        <is>
          <t>Sierra South</t>
        </is>
      </c>
      <c r="B95" s="4" t="inlineStr">
        <is>
          <t>Oak Terrace Mixed-Use Development - Architectural History Survey</t>
        </is>
      </c>
      <c r="C95" s="5" t="n">
        <v>-4110.17</v>
      </c>
    </row>
    <row r="96">
      <c r="A96" s="4" t="inlineStr">
        <is>
          <t>Built Environment</t>
        </is>
      </c>
      <c r="B96" s="4" t="inlineStr">
        <is>
          <t>Hackberry Bend Rail Siding - Section 106 Consultation</t>
        </is>
      </c>
      <c r="C96" s="5" t="n">
        <v>-3962.75</v>
      </c>
    </row>
    <row r="97">
      <c r="A97" s="4" t="inlineStr">
        <is>
          <t>Piedmont</t>
        </is>
      </c>
      <c r="B97" s="4" t="inlineStr">
        <is>
          <t>Sparrow Hill Canal Lining Built Environment Survey</t>
        </is>
      </c>
      <c r="C97" s="5" t="n">
        <v>-3881.809999999999</v>
      </c>
    </row>
    <row r="98">
      <c r="A98" s="4" t="inlineStr">
        <is>
          <t>Big Sky</t>
        </is>
      </c>
      <c r="B98" s="4" t="inlineStr">
        <is>
          <t>Hackberry Bend Bridge Replacement Architectural History Survey</t>
        </is>
      </c>
      <c r="C98" s="5" t="n">
        <v>-3816.140000000001</v>
      </c>
    </row>
    <row r="99">
      <c r="A99" s="4" t="inlineStr">
        <is>
          <t>Paleontology</t>
        </is>
      </c>
      <c r="B99" s="4" t="inlineStr">
        <is>
          <t>Task Order 36: Wren Hollow Water Main Maritime Remote Sensing Survey</t>
        </is>
      </c>
      <c r="C99" s="5" t="n">
        <v>-3767.549999999988</v>
      </c>
    </row>
    <row r="100">
      <c r="A100" s="4" t="inlineStr">
        <is>
          <t>Cascade</t>
        </is>
      </c>
      <c r="B100" s="4" t="inlineStr">
        <is>
          <t>Task Order 11: Kestrel Butte Mine Expansion Cultural Resources Monitoring</t>
        </is>
      </c>
      <c r="C100" s="5" t="n">
        <v>-3721.200000000001</v>
      </c>
    </row>
    <row r="101">
      <c r="A101" s="4" t="inlineStr">
        <is>
          <t>High Desert</t>
        </is>
      </c>
      <c r="B101" s="4" t="inlineStr">
        <is>
          <t>Hackberry Bend Transmission Line Archaeological Testing</t>
        </is>
      </c>
      <c r="C101" s="5" t="n">
        <v>-3680.890000000014</v>
      </c>
    </row>
    <row r="102">
      <c r="A102" s="4" t="inlineStr">
        <is>
          <t>Red Rock</t>
        </is>
      </c>
      <c r="B102" s="4" t="inlineStr">
        <is>
          <t>Saltgrass Cultural Resources Assessment</t>
        </is>
      </c>
      <c r="C102" s="5" t="n">
        <v>-3524.760000000002</v>
      </c>
    </row>
    <row r="103">
      <c r="A103" s="4" t="inlineStr">
        <is>
          <t>Great Lakes</t>
        </is>
      </c>
      <c r="B103" s="4" t="inlineStr">
        <is>
          <t>Plover Cove Mixed-Use Development - GIS Mapping</t>
        </is>
      </c>
      <c r="C103" s="5" t="n">
        <v>-3427.200000000001</v>
      </c>
    </row>
    <row r="104">
      <c r="A104" s="4" t="inlineStr">
        <is>
          <t>Cascade</t>
        </is>
      </c>
      <c r="B104" s="4" t="inlineStr">
        <is>
          <t>Blue Heron Environmental Review Support</t>
        </is>
      </c>
      <c r="C104" s="5" t="n">
        <v>-3394.470000000001</v>
      </c>
    </row>
    <row r="105">
      <c r="A105" s="4" t="inlineStr">
        <is>
          <t>Coastal Bend</t>
        </is>
      </c>
      <c r="B105" s="4" t="inlineStr">
        <is>
          <t>Quail Run Harbor Dredging - Built Environment Survey</t>
        </is>
      </c>
      <c r="C105" s="5" t="n">
        <v>-3251.330000000002</v>
      </c>
    </row>
    <row r="106">
      <c r="A106" s="4" t="inlineStr">
        <is>
          <t>High Desert</t>
        </is>
      </c>
      <c r="B106" s="4" t="inlineStr">
        <is>
          <t>Eagle Bend Solar - Architectural History Survey</t>
        </is>
      </c>
      <c r="C106" s="5" t="n">
        <v>-3212.860000000001</v>
      </c>
    </row>
    <row r="107">
      <c r="A107" s="4" t="inlineStr">
        <is>
          <t>Coastal Bend</t>
        </is>
      </c>
      <c r="B107" s="4" t="inlineStr">
        <is>
          <t>Quail Run Bridge Replacement Phase I Survey</t>
        </is>
      </c>
      <c r="C107" s="5" t="n">
        <v>-2954.5</v>
      </c>
    </row>
    <row r="108">
      <c r="A108" s="4" t="inlineStr">
        <is>
          <t>Cascade</t>
        </is>
      </c>
      <c r="B108" s="4" t="inlineStr">
        <is>
          <t>Rushgrass Draw Paleontological Monitoring</t>
        </is>
      </c>
      <c r="C108" s="5" t="n">
        <v>-2761.16</v>
      </c>
    </row>
    <row r="109">
      <c r="A109" s="4" t="inlineStr">
        <is>
          <t>Coastal Bend</t>
        </is>
      </c>
      <c r="B109" s="4" t="inlineStr">
        <is>
          <t>Goldfinch Mine Expansion Archaeological Testing</t>
        </is>
      </c>
      <c r="C109" s="5" t="n">
        <v>-2711.669999999998</v>
      </c>
    </row>
    <row r="110">
      <c r="A110" s="4" t="inlineStr">
        <is>
          <t>Chesapeake</t>
        </is>
      </c>
      <c r="B110" s="4" t="inlineStr">
        <is>
          <t>Rushgrass Draw Curation</t>
        </is>
      </c>
      <c r="C110" s="5" t="n">
        <v>-2678.990000000002</v>
      </c>
    </row>
    <row r="111">
      <c r="A111" s="4" t="inlineStr">
        <is>
          <t>Bluegrass</t>
        </is>
      </c>
      <c r="B111" s="4" t="inlineStr">
        <is>
          <t>Dove Canyon Mixed-Use Development Archaeological Testing</t>
        </is>
      </c>
      <c r="C111" s="5" t="n">
        <v>-2667.669999999998</v>
      </c>
    </row>
    <row r="112">
      <c r="A112" s="4" t="inlineStr">
        <is>
          <t>Sierra North</t>
        </is>
      </c>
      <c r="B112" s="4" t="inlineStr">
        <is>
          <t>Slate Ridge Trail - Paleontological Monitoring</t>
        </is>
      </c>
      <c r="C112" s="5" t="n">
        <v>-2632.76</v>
      </c>
    </row>
    <row r="113">
      <c r="A113" s="4" t="inlineStr">
        <is>
          <t>Red Rock</t>
        </is>
      </c>
      <c r="B113" s="4" t="inlineStr">
        <is>
          <t>Tansy Flat Cultural Resources Assessment</t>
        </is>
      </c>
      <c r="C113" s="5" t="n">
        <v>-2385.25</v>
      </c>
    </row>
    <row r="114">
      <c r="A114" s="4" t="inlineStr">
        <is>
          <t>Built Environment</t>
        </is>
      </c>
      <c r="B114" s="4" t="inlineStr">
        <is>
          <t>Task Order 22: Lantern Bay School Campus Data Recovery</t>
        </is>
      </c>
      <c r="C114" s="5" t="n">
        <v>-2266.040000000001</v>
      </c>
    </row>
    <row r="115">
      <c r="A115" s="4" t="inlineStr">
        <is>
          <t>Red Rock</t>
        </is>
      </c>
      <c r="B115" s="4" t="inlineStr">
        <is>
          <t>Twin Buttes Harbor Dredging Maritime Remote Sensing Survey</t>
        </is>
      </c>
      <c r="C115" s="5" t="n">
        <v>-1741.110000000015</v>
      </c>
    </row>
    <row r="116">
      <c r="A116" s="4" t="inlineStr">
        <is>
          <t>Red Rock</t>
        </is>
      </c>
      <c r="B116" s="4" t="inlineStr">
        <is>
          <t>Ember Valley Curation</t>
        </is>
      </c>
      <c r="C116" s="5" t="n">
        <v>-1483.290000000008</v>
      </c>
    </row>
    <row r="117">
      <c r="A117" s="4" t="inlineStr">
        <is>
          <t>High Desert</t>
        </is>
      </c>
      <c r="B117" s="4" t="inlineStr">
        <is>
          <t>Larkspur Rail Siding Environmental Review Support</t>
        </is>
      </c>
      <c r="C117" s="5" t="n">
        <v>-1438.569999999992</v>
      </c>
    </row>
    <row r="118">
      <c r="A118" s="4" t="inlineStr">
        <is>
          <t>Coastal Bend</t>
        </is>
      </c>
      <c r="B118" s="4" t="inlineStr">
        <is>
          <t>Slate Ridge Water Main Maritime Remote Sensing Survey</t>
        </is>
      </c>
      <c r="C118" s="5" t="n">
        <v>-1347.830000000002</v>
      </c>
    </row>
    <row r="119">
      <c r="A119" s="4" t="inlineStr">
        <is>
          <t>Front Range</t>
        </is>
      </c>
      <c r="B119" s="4" t="inlineStr">
        <is>
          <t>Phase III: Yarrow Point Reservoir Archaeological Testing</t>
        </is>
      </c>
      <c r="C119" s="5" t="n">
        <v>-1306.51</v>
      </c>
    </row>
    <row r="120">
      <c r="A120" s="4" t="inlineStr">
        <is>
          <t>Front Range</t>
        </is>
      </c>
      <c r="B120" s="4" t="inlineStr">
        <is>
          <t>North Fork Water Main Architectural History Survey</t>
        </is>
      </c>
      <c r="C120" s="5" t="n">
        <v>-1233.84</v>
      </c>
    </row>
    <row r="121">
      <c r="A121" s="4" t="inlineStr">
        <is>
          <t>Big Sky</t>
        </is>
      </c>
      <c r="B121" s="4" t="inlineStr">
        <is>
          <t>On-Call: Foxglove Substation Cultural Resources Assessment</t>
        </is>
      </c>
      <c r="C121" s="5" t="n">
        <v>-1220.040000000001</v>
      </c>
    </row>
    <row r="122">
      <c r="A122" s="4" t="inlineStr">
        <is>
          <t>Island</t>
        </is>
      </c>
      <c r="B122" s="4" t="inlineStr">
        <is>
          <t>Hawk Point Phase I Survey</t>
        </is>
      </c>
      <c r="C122" s="5" t="n">
        <v>-830.5299999999988</v>
      </c>
    </row>
    <row r="123">
      <c r="A123" s="4" t="inlineStr">
        <is>
          <t>Gulf Coast</t>
        </is>
      </c>
      <c r="B123" s="4" t="inlineStr">
        <is>
          <t>Cedar Hollow Highway Widening - Section 106 Consultation</t>
        </is>
      </c>
      <c r="C123" s="5" t="n">
        <v>-665.8999999999942</v>
      </c>
    </row>
    <row r="124">
      <c r="A124" s="4" t="inlineStr">
        <is>
          <t>Bluegrass</t>
        </is>
      </c>
      <c r="B124" s="4" t="inlineStr">
        <is>
          <t>Phase II: Foxglove Harbor Dredging Data Recovery</t>
        </is>
      </c>
      <c r="C124" s="5" t="n">
        <v>-655.9099999999999</v>
      </c>
    </row>
    <row r="125">
      <c r="A125" s="4" t="inlineStr">
        <is>
          <t>Piedmont</t>
        </is>
      </c>
      <c r="B125" s="4" t="inlineStr">
        <is>
          <t>Phase II: Heron Marsh Mine Expansion Historic Resources Evaluation</t>
        </is>
      </c>
      <c r="C125" s="5" t="n">
        <v>-608.71</v>
      </c>
    </row>
    <row r="126">
      <c r="A126" s="4" t="inlineStr">
        <is>
          <t>NH Gulf (USD)</t>
        </is>
      </c>
      <c r="B126" s="4" t="inlineStr">
        <is>
          <t>Saltgrass Environmental Review Support</t>
        </is>
      </c>
      <c r="C126" s="5" t="n">
        <v>-460.6000000000004</v>
      </c>
    </row>
    <row r="127">
      <c r="A127" s="4" t="inlineStr">
        <is>
          <t>Coastal Bend</t>
        </is>
      </c>
      <c r="B127" s="4" t="inlineStr">
        <is>
          <t>Ember Valley Levee Repair Data Recovery</t>
        </is>
      </c>
      <c r="C127" s="5" t="n">
        <v>-365.4800000000005</v>
      </c>
    </row>
    <row r="128">
      <c r="A128" s="4" t="inlineStr">
        <is>
          <t>Great Lakes</t>
        </is>
      </c>
      <c r="B128" s="4" t="inlineStr">
        <is>
          <t>Task Order 30: Bramble Creek Pipeline Environmental Review Support</t>
        </is>
      </c>
      <c r="C128" s="5" t="n">
        <v>-361.7900000000009</v>
      </c>
    </row>
    <row r="129">
      <c r="A129" s="4" t="inlineStr">
        <is>
          <t>Coastal Bend</t>
        </is>
      </c>
      <c r="B129" s="4" t="inlineStr">
        <is>
          <t>Foxglove Airport Apron - Maritime Remote Sensing Survey</t>
        </is>
      </c>
      <c r="C129" s="5" t="n">
        <v>-355.7399999999998</v>
      </c>
    </row>
    <row r="130">
      <c r="A130" s="4" t="inlineStr">
        <is>
          <t>Red Rock</t>
        </is>
      </c>
      <c r="B130" s="4" t="inlineStr">
        <is>
          <t>On-Call: Twin Buttes Housing Development GIS Mapping</t>
        </is>
      </c>
      <c r="C130" s="5" t="n">
        <v>-350.2099999999991</v>
      </c>
    </row>
    <row r="131">
      <c r="A131" s="4" t="inlineStr">
        <is>
          <t>High Desert</t>
        </is>
      </c>
      <c r="B131" s="4" t="inlineStr">
        <is>
          <t>Silver Lake Airport Apron Class III Survey</t>
        </is>
      </c>
      <c r="C131" s="5" t="n">
        <v>-294.3700000000008</v>
      </c>
    </row>
    <row r="132">
      <c r="A132" s="4" t="inlineStr">
        <is>
          <t>Red Rock</t>
        </is>
      </c>
      <c r="B132" s="4" t="inlineStr">
        <is>
          <t>Pebble Beach Road Reservoir GIS Mapping</t>
        </is>
      </c>
      <c r="C132" s="5" t="n">
        <v>-200.79</v>
      </c>
    </row>
    <row r="133">
      <c r="A133" s="4" t="inlineStr">
        <is>
          <t>Geospatial</t>
        </is>
      </c>
      <c r="B133" s="4" t="inlineStr">
        <is>
          <t>Elk Meadow Highway Widening Phase I Survey</t>
        </is>
      </c>
      <c r="C133" s="5" t="n">
        <v>-180.3899999999994</v>
      </c>
    </row>
    <row r="134">
      <c r="A134" s="4" t="inlineStr">
        <is>
          <t>Built Environment</t>
        </is>
      </c>
      <c r="B134" s="4" t="inlineStr">
        <is>
          <t>Elk Meadow Fiber Route Archaeological Testing</t>
        </is>
      </c>
      <c r="C134" s="5" t="n">
        <v>-31.42999999999847</v>
      </c>
    </row>
    <row r="135">
      <c r="A135" s="4" t="inlineStr">
        <is>
          <t>Meridian Southwest</t>
        </is>
      </c>
      <c r="B135" s="4" t="inlineStr">
        <is>
          <t>Task Order 8: Pine Hollow Highway Widening Historic Resources Evaluation</t>
        </is>
      </c>
      <c r="C135" s="5" t="n">
        <v>-7.839999999996508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2026-09-30T22:38:51Z</dcterms:created>
  <dcterms:modified xmlns:dcterms="http://purl.org/dc/terms/" xmlns:xsi="http://www.w3.org/2001/XMLSchema-instance" xsi:type="dcterms:W3CDTF">2026-09-30T22:38:52Z</dcterms:modified>
</cp:coreProperties>
</file>